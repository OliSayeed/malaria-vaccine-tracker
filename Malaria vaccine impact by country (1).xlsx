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Countries" sheetId="2" r:id="rId5"/>
    <sheet state="visible" name="Shipments by country" sheetId="3" r:id="rId6"/>
    <sheet state="visible" name="Vaccine efficacy curves" sheetId="4" r:id="rId7"/>
    <sheet state="visible" name="Vaccine course completion rates" sheetId="5" r:id="rId8"/>
    <sheet state="visible" name="Vaccine pricing" sheetId="6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">
      <text>
        <t xml:space="preserve">From here: 
https://www.gavi.org/types-support/sustainability/eligibility</t>
      </text>
    </comment>
    <comment authorId="0" ref="I1">
      <text>
        <t xml:space="preserve">PMI annual report, April 2024:
https://stacks.cdc.gov/view/cdc/154755</t>
      </text>
    </comment>
    <comment authorId="0" ref="J1">
      <text>
        <t xml:space="preserve">Not necessarily equal to total population. 2023 UN data via the World Malaria Report (2024), Annex 4 – F:
https://www.who.int/teams/global-malaria-programme/reports/world-malaria-report-2024</t>
      </text>
    </comment>
    <comment authorId="0" ref="K1">
      <text>
        <t xml:space="preserve">2023 UN data, World Population Prospects (2024), via Our World in Data:
https://ourworldindata.org/explorers/population-and-demography?tab=table&amp;facet=none&amp;Metric=Population&amp;Sex=Both+sexes&amp;Age+group=Under+5+years&amp;Projection+Scenario=None</t>
      </text>
    </comment>
    <comment authorId="0" ref="L1">
      <text>
        <t xml:space="preserve">Excluding infants under six months old, so roughly 10% of all children under five</t>
      </text>
    </comment>
    <comment authorId="0" ref="M1">
      <text>
        <t xml:space="preserve">Assuming four doses per child</t>
      </text>
    </comment>
    <comment authorId="0" ref="Q1">
      <text>
        <t xml:space="preserve">World Malaria Report (2024), Annex 4 – F:
https://www.who.int/teams/global-malaria-programme/reports/world-malaria-report-2024</t>
      </text>
    </comment>
    <comment authorId="0" ref="R1">
      <text>
        <t xml:space="preserve">World Malaria Report (2024), Annex 4 – F:
https://www.who.int/teams/global-malaria-programme/reports/world-malaria-report-2024</t>
      </text>
    </comment>
    <comment authorId="0" ref="AL1">
      <text>
        <t xml:space="preserve">Using prices for R21 from "Vaccine pricing"</t>
      </text>
    </comment>
    <comment authorId="0" ref="AO1">
      <text>
        <t xml:space="preserve">Multiplies the number of required doses for each country by the estimated co-financing cost per dose, which is a function of the length of time a country has spent in its current co-financing phase:
– 100% for fully self-financing countries
– a flat $0.20 per dose for initial self-financing countries
– $0.20 per dose increasing by 15% per year for preparatory transition countries
– 20% of the dose price increasing by ten points per year for accelerated transition countries
More details from 1Day Africa here: https://www.1daysooner.org/how-are-vaccines-distributed-through-gavi/</t>
      </text>
    </comment>
    <comment authorId="0" ref="AP1">
      <text>
        <t xml:space="preserve">From the World Bank using the Atlas method, via Gavi:
https://www.gavi.org/sites/default/files/support/GNI-list-for-Gavi-website-2025.pdf</t>
      </text>
    </comment>
    <comment authorId="0" ref="AQ1">
      <text>
        <t xml:space="preserve">Over a period of a year, using the R21 efficacy at one year and the national annual case rate</t>
      </text>
    </comment>
    <comment authorId="0" ref="AR1">
      <text>
        <t xml:space="preserve">Over a period of a year, using the R21 efficacy at one year and the national annual death rate</t>
      </text>
    </comment>
    <comment authorId="0" ref="AS1">
      <text>
        <t xml:space="preserve">For simplicity, calculated by dividing the current under-five population by five</t>
      </text>
    </comment>
    <comment authorId="0" ref="AR35">
      <text>
        <t xml:space="preserve">Undefined: São Tomé and Príncipe had no recorded malaria deaths in 2024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">
      <text>
        <t xml:space="preserve">Assuming four doses per child</t>
      </text>
    </comment>
    <comment authorId="0" ref="I1">
      <text>
        <t xml:space="preserve">Assuming vaccination with the first dose takes place immediately on the shipment date, and the third dose two months later</t>
      </text>
    </comment>
    <comment authorId="0" ref="J1">
      <text>
        <t xml:space="preserve">Accounting for waning vaccine efficacy between the third dose and the current date, linearly interpolated based on the data in the "Vaccine efficacy curves" sheet</t>
      </text>
    </comment>
    <comment authorId="0" ref="M1">
      <text>
        <t xml:space="preserve">Assuming a linear ramp-up from 0% coverage on the shipment date to 100% coverage six months after the shipment date, equivalent to an instantaneous roll-out after a three-month delay</t>
      </text>
    </comment>
    <comment authorId="0" ref="N1">
      <text>
        <t xml:space="preserve">Assuming a linear ramp-up from 0% coverage on the shipment date to 100% coverage six months after the shipment date, equivalent to an instantaneous roll-out after a three-month delay</t>
      </text>
    </comment>
    <comment authorId="0" ref="O1">
      <text>
        <t xml:space="preserve">Integrates [vaccine efficacy x number of children covered] over time, with efficacy data taken from "Vaccine efficacy curves"</t>
      </text>
    </comment>
    <comment authorId="0" ref="P1">
      <text>
        <t xml:space="preserve">Integrates [vaccine efficacy x number of children covered] over time, with efficacy data taken from "Vaccine efficacy curves"</t>
      </text>
    </comment>
    <comment authorId="0" ref="Q1">
      <text>
        <t xml:space="preserve">Integrates [vaccine efficacy x number of children covered] over time, with efficacy data taken from "Vaccine efficacy curves"
Also assumes a linear ramp-up from 0% coverage on the shipment date to 100% coverage six months after the shipment date, equivalent to an instantaneous roll-out after a three-month delay</t>
      </text>
    </comment>
    <comment authorId="0" ref="R1">
      <text>
        <t xml:space="preserve">Integrates [vaccine efficacy x number of children covered] over time, with efficacy data taken from "Vaccine efficacy curves"
Also assumes a linear ramp-up from 0% coverage on the shipment date to 100% coverage six months after the shipment date, equivalent to an instantaneous roll-out after a three-month delay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Data from the RTS,S Clinical Trials Partnership in their 2015 Lancet paper:
https://www.thelancet.com/journals/lancet/article/PIIS0140-6736(15)60721-8/abstract
Via Duncombe, Elabd and Sandefur (2024), p.3:
https://www.cgdev.org/sites/default/files/avoiding-another-lost-decade-malaria-vaccines.pdf</t>
      </text>
    </comment>
    <comment authorId="0" ref="A3">
      <text>
        <t xml:space="preserve">Data from Datoo et al. (2024) in The Lancet:
https://www.thelancet.com/journals/lancet/article/PIIS0140-6736(23)02511-4/fulltext?s=08
Via Duncombe, Elabd and Sandefur, p.3:
https://www.cgdev.org/sites/default/files/avoiding-another-lost-decade-malaria-vaccines.pdf</t>
      </text>
    </comment>
    <comment authorId="0" ref="E3">
      <text>
        <t xml:space="preserve">Extrapolated from RTS,S efficacy</t>
      </text>
    </comment>
    <comment authorId="0" ref="G3">
      <text>
        <t xml:space="preserve">Extrapolated from RTS,S efficacy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Data from Malawi's roll-out of RTS,S through MVIP
See p.49: 
https://cdn.who.int/media/docs/default-source/immunization/mvip/full-evidence-report-on-the-rtss-as01-malaria-vaccine-for-sage-mpag-%28sept2021%29.pdf</t>
      </text>
    </comment>
    <comment authorId="0" ref="A4">
      <text>
        <t xml:space="preserve">Data from South Sudan's roll-out of R21:
https://www.afro.who.int/countries/south-sudan/news/south-sudan-launches-second-phase-r21-malaria-vaccine-introduction-52-counties-protect-children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Duncombe, Elabd and Sandefur (2024), p.3:
https://www.cgdev.org/sites/default/files/avoiding-another-lost-decade-malaria-vaccines.pdf</t>
      </text>
    </comment>
  </commentList>
</comments>
</file>

<file path=xl/sharedStrings.xml><?xml version="1.0" encoding="utf-8"?>
<sst xmlns="http://schemas.openxmlformats.org/spreadsheetml/2006/main" count="2747" uniqueCount="163">
  <si>
    <t>Impact metric</t>
  </si>
  <si>
    <t>Immediate roll-out</t>
  </si>
  <si>
    <t>Six-month roll-out</t>
  </si>
  <si>
    <t>Waning efficacy</t>
  </si>
  <si>
    <t>Six-month roll-out + waning efficacy</t>
  </si>
  <si>
    <t>Cumulative cases averted so far</t>
  </si>
  <si>
    <t>Cumulative lives saved so far</t>
  </si>
  <si>
    <t>New cases averted per year</t>
  </si>
  <si>
    <t>New cases averted per day</t>
  </si>
  <si>
    <t>New cases averted per hour</t>
  </si>
  <si>
    <t>New cases averted per minute</t>
  </si>
  <si>
    <t>New lives saved per year</t>
  </si>
  <si>
    <t>New lives saved per day</t>
  </si>
  <si>
    <t>Cumulative cases expected without vaccines</t>
  </si>
  <si>
    <t>Cumulative deaths expected without vaccines</t>
  </si>
  <si>
    <t>Fraction of total malaria cases averted by vaccines</t>
  </si>
  <si>
    <t>Fraction of total malaria deaths averted by vaccines</t>
  </si>
  <si>
    <t>Country</t>
  </si>
  <si>
    <t>RTS,S doses delivered</t>
  </si>
  <si>
    <t>R21 doses delivered</t>
  </si>
  <si>
    <t>RTS,S + R21 doses delivered</t>
  </si>
  <si>
    <t>Total RTS,S doses allocated</t>
  </si>
  <si>
    <t>Total R21 doses allocated</t>
  </si>
  <si>
    <t>Total RTS,S + R21 doses allocated</t>
  </si>
  <si>
    <t>Gavi income group</t>
  </si>
  <si>
    <t>PMI funding, USD (2023)</t>
  </si>
  <si>
    <t>Population at risk (2023)</t>
  </si>
  <si>
    <t>Population under five (2023)</t>
  </si>
  <si>
    <t>Eligible population (2023, 6-60 months)</t>
  </si>
  <si>
    <t>Eligible population covered</t>
  </si>
  <si>
    <t>Fraction of eligible population covered (6-60 months)</t>
  </si>
  <si>
    <t>Eligible population not covered (6-60 months)</t>
  </si>
  <si>
    <t>Fraction of eligible population not covered (6-60 months)</t>
  </si>
  <si>
    <t>Total malaria cases per year (2023)</t>
  </si>
  <si>
    <t>Total malaria deaths per year (2023)</t>
  </si>
  <si>
    <t>Malaria cases per million at risk per year</t>
  </si>
  <si>
    <t>Malaria deaths per million at risk per year</t>
  </si>
  <si>
    <t>New cases averted per year (immediate roll-out)</t>
  </si>
  <si>
    <t>Total cases averted so far (immediate roll-out)</t>
  </si>
  <si>
    <t>New lives saved per year (immediate roll-out)</t>
  </si>
  <si>
    <t>Total lives saved so far (immediate roll-out)</t>
  </si>
  <si>
    <t>New cases averted per year (six-month roll-out)</t>
  </si>
  <si>
    <t>Total cases averted so far (six-month roll-out)</t>
  </si>
  <si>
    <t>New lives saved per year (six-month roll-out)</t>
  </si>
  <si>
    <t>Total lives saved so far (six-month roll-out)</t>
  </si>
  <si>
    <t>New cases averted per year (waning efficacy)</t>
  </si>
  <si>
    <t>Total cases averted so far (waning efficacy)</t>
  </si>
  <si>
    <t>New lives saved per year (waning efficacy)</t>
  </si>
  <si>
    <t>Total lives saved so far (waning efficacy)</t>
  </si>
  <si>
    <t>New cases averted per year (six-month roll-out, waning efficacy)</t>
  </si>
  <si>
    <t>Total cases averted so far (six-month roll-out, waning efficacy)</t>
  </si>
  <si>
    <t>New lives saved per year (six-month roll-out, waning efficacy)</t>
  </si>
  <si>
    <t>Total lives saved so far (six-month roll-out, waning efficacy)</t>
  </si>
  <si>
    <t>Current stock of further doses required (6-60 months)</t>
  </si>
  <si>
    <t>Cost of current stock of further doses required, R21 (6-60 months, USD)</t>
  </si>
  <si>
    <t>Share of existing dose costs funded by Gavi</t>
  </si>
  <si>
    <t>Years in co-financing phase (as of 2025)</t>
  </si>
  <si>
    <t>Co-financing cost of current stock of further doses required, R21 (6-60 months, USD)</t>
  </si>
  <si>
    <t>Average GNI per capita (2021-2023)</t>
  </si>
  <si>
    <t>Cost to avert one case, R21</t>
  </si>
  <si>
    <t>Cost to save one life, R21</t>
  </si>
  <si>
    <t>Births per year</t>
  </si>
  <si>
    <t>Flow of new vaccines required per year</t>
  </si>
  <si>
    <t>Cost of flow of new vaccines required per year</t>
  </si>
  <si>
    <t>Eligible population (2023, 5-36 months)</t>
  </si>
  <si>
    <t>Fraction of eligible population covered (5-36 months)</t>
  </si>
  <si>
    <t>Eligible population not covered (5-36 months)</t>
  </si>
  <si>
    <t>Fraction of eligible population not covered (5-36 months)</t>
  </si>
  <si>
    <t>Current stock of further doses required (5-36 months)</t>
  </si>
  <si>
    <t>Cost of current stock of further doses required, R21 (5-36 months, USD)</t>
  </si>
  <si>
    <t>Co-financing cost of current stock of further doses required, R21 (5-36 months, USD)</t>
  </si>
  <si>
    <t>Angola</t>
  </si>
  <si>
    <t>Fully self-financing</t>
  </si>
  <si>
    <t>Benin</t>
  </si>
  <si>
    <t>Preparatory transition</t>
  </si>
  <si>
    <t>Botswana</t>
  </si>
  <si>
    <t>N/A</t>
  </si>
  <si>
    <t>-</t>
  </si>
  <si>
    <t/>
  </si>
  <si>
    <t>Burkina Faso</t>
  </si>
  <si>
    <t>Initial self-financing</t>
  </si>
  <si>
    <t>Burundi</t>
  </si>
  <si>
    <t>Cameroon</t>
  </si>
  <si>
    <t>Central African Republic</t>
  </si>
  <si>
    <t>Chad</t>
  </si>
  <si>
    <t>Comoros</t>
  </si>
  <si>
    <t>Congo-Brazzaville</t>
  </si>
  <si>
    <t>Accelerated transition</t>
  </si>
  <si>
    <t>Côte d'Ivoire</t>
  </si>
  <si>
    <t>Djibouti</t>
  </si>
  <si>
    <t>DRC</t>
  </si>
  <si>
    <t>Equatorial Guinea</t>
  </si>
  <si>
    <t>Eritrea</t>
  </si>
  <si>
    <t>Eswatini</t>
  </si>
  <si>
    <t>Ethiopia</t>
  </si>
  <si>
    <t>Gabon</t>
  </si>
  <si>
    <t>The Gambia</t>
  </si>
  <si>
    <t>Ghana</t>
  </si>
  <si>
    <t>Guinea</t>
  </si>
  <si>
    <t>Guinea-Bissau</t>
  </si>
  <si>
    <t>Kenya</t>
  </si>
  <si>
    <t>Liberia</t>
  </si>
  <si>
    <t>Madagascar</t>
  </si>
  <si>
    <t>Malawi</t>
  </si>
  <si>
    <t>Mali</t>
  </si>
  <si>
    <t>Mauritania</t>
  </si>
  <si>
    <t>Mozambique</t>
  </si>
  <si>
    <t>Namibia</t>
  </si>
  <si>
    <t>Niger</t>
  </si>
  <si>
    <t>Nigeria</t>
  </si>
  <si>
    <t>Rwanda</t>
  </si>
  <si>
    <t>São Tomé and Príncipe</t>
  </si>
  <si>
    <t>Senegal</t>
  </si>
  <si>
    <t>Sierra Leone</t>
  </si>
  <si>
    <t>Somalia</t>
  </si>
  <si>
    <t>South Africa</t>
  </si>
  <si>
    <t>South Sudan</t>
  </si>
  <si>
    <t>Sudan</t>
  </si>
  <si>
    <t>Tanzania</t>
  </si>
  <si>
    <t>Togo</t>
  </si>
  <si>
    <t>Uganda</t>
  </si>
  <si>
    <t>Zambia</t>
  </si>
  <si>
    <t>Zimbabwe</t>
  </si>
  <si>
    <t>Total</t>
  </si>
  <si>
    <t>Timestamp</t>
  </si>
  <si>
    <t xml:space="preserve">Country
</t>
  </si>
  <si>
    <t>Vaccine</t>
  </si>
  <si>
    <t>Financing</t>
  </si>
  <si>
    <t>Delivery date</t>
  </si>
  <si>
    <t>Number of doses</t>
  </si>
  <si>
    <t>Status</t>
  </si>
  <si>
    <t>Children covered</t>
  </si>
  <si>
    <t>Time in years since third dose</t>
  </si>
  <si>
    <t>Current vaccine efficacy</t>
  </si>
  <si>
    <t>Cases averted so far (immediate roll-out)</t>
  </si>
  <si>
    <t>Lives saved so far (immediate roll-out)</t>
  </si>
  <si>
    <t>Cases averted so far (six-month roll-out)</t>
  </si>
  <si>
    <t>Lives saved so far (six-month roll-out)</t>
  </si>
  <si>
    <t>Cases averted so far (waning efficacy)</t>
  </si>
  <si>
    <t>Lives saved so far (waning efficacy)</t>
  </si>
  <si>
    <t>Cases averted so far (six-month roll-out, waning efficacy)</t>
  </si>
  <si>
    <t>Lives saved so far (six-month roll-out, waning efficacy)</t>
  </si>
  <si>
    <t>RTS,S</t>
  </si>
  <si>
    <t>Gavi</t>
  </si>
  <si>
    <t>Delivered</t>
  </si>
  <si>
    <t>Co-financing</t>
  </si>
  <si>
    <t>R21</t>
  </si>
  <si>
    <t>Forecast</t>
  </si>
  <si>
    <t>Purchased</t>
  </si>
  <si>
    <t>Time 1 (years)</t>
  </si>
  <si>
    <t>Efficacy at time 1</t>
  </si>
  <si>
    <t>Time 2 (years)</t>
  </si>
  <si>
    <t>Efficacy at time 2</t>
  </si>
  <si>
    <t>Time 3 (years)</t>
  </si>
  <si>
    <t>Efficacy at time 3</t>
  </si>
  <si>
    <t>Scenario</t>
  </si>
  <si>
    <t>Completion up to dose 2</t>
  </si>
  <si>
    <t>Completion up to dose 3</t>
  </si>
  <si>
    <t>Completion up to dose 4</t>
  </si>
  <si>
    <t>Optimistic</t>
  </si>
  <si>
    <t>Average</t>
  </si>
  <si>
    <t>Pessimistic</t>
  </si>
  <si>
    <t>Base price (USD)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</si>
</sst>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_);(#,##0)"/>
    <numFmt numFmtId="165" formatCode="#,##0_);[Red](#,##0)"/>
    <numFmt numFmtId="166" formatCode="&quot;$&quot;#,##0"/>
    <numFmt numFmtId="167" formatCode="&quot;$&quot;#,##0.00"/>
    <numFmt numFmtId="168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3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shrinkToFit="0" vertical="center" wrapText="0"/>
    </xf>
    <xf borderId="0" fillId="0" fontId="1" numFmtId="3" xfId="0" applyAlignment="1" applyFont="1" applyNumberFormat="1">
      <alignment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0" xfId="0" applyFont="1"/>
    <xf borderId="0" fillId="0" fontId="2" numFmtId="0" xfId="0" applyAlignment="1" applyFont="1">
      <alignment horizontal="center" readingOrder="0" shrinkToFit="0" vertical="center" wrapText="0"/>
    </xf>
    <xf borderId="0" fillId="0" fontId="2" numFmtId="164" xfId="0" applyAlignment="1" applyFont="1" applyNumberFormat="1">
      <alignment horizontal="center" readingOrder="0" shrinkToFit="0" vertical="center" wrapText="0"/>
    </xf>
    <xf borderId="0" fillId="0" fontId="2" numFmtId="3" xfId="0" applyAlignment="1" applyFont="1" applyNumberForma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3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65" xfId="0" applyAlignment="1" applyFont="1" applyNumberForma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3" xfId="0" applyAlignment="1" applyFont="1" applyNumberFormat="1">
      <alignment horizontal="center" readingOrder="0" shrinkToFit="0" vertical="center" wrapText="0"/>
    </xf>
    <xf borderId="0" fillId="0" fontId="2" numFmtId="10" xfId="0" applyAlignment="1" applyFont="1" applyNumberFormat="1">
      <alignment horizontal="center" readingOrder="0" shrinkToFit="0" vertical="center" wrapText="0"/>
    </xf>
    <xf borderId="0" fillId="0" fontId="2" numFmtId="9" xfId="0" applyAlignment="1" applyFont="1" applyNumberFormat="1">
      <alignment horizontal="center"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10" xfId="0" applyAlignment="1" applyFont="1" applyNumberFormat="1">
      <alignment readingOrder="0" shrinkToFit="0" vertical="center" wrapText="0"/>
    </xf>
    <xf borderId="0" fillId="0" fontId="1" numFmtId="3" xfId="0" applyAlignment="1" applyFont="1" applyNumberFormat="1">
      <alignment shrinkToFit="0" vertical="center" wrapText="0"/>
    </xf>
    <xf borderId="0" fillId="0" fontId="1" numFmtId="166" xfId="0" applyAlignment="1" applyFont="1" applyNumberFormat="1">
      <alignment shrinkToFit="0" vertical="center" wrapText="0"/>
    </xf>
    <xf borderId="0" fillId="0" fontId="1" numFmtId="9" xfId="0" applyAlignment="1" applyFont="1" applyNumberFormat="1">
      <alignment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3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9" xfId="0" applyAlignment="1" applyFont="1" applyNumberFormat="1">
      <alignment shrinkToFit="0" vertical="center" wrapText="0"/>
    </xf>
    <xf borderId="0" fillId="0" fontId="1" numFmtId="164" xfId="0" applyFont="1" applyNumberFormat="1"/>
    <xf borderId="0" fillId="0" fontId="1" numFmtId="3" xfId="0" applyFont="1" applyNumberFormat="1"/>
    <xf borderId="0" fillId="0" fontId="1" numFmtId="3" xfId="0" applyFont="1" applyNumberFormat="1"/>
    <xf borderId="0" fillId="0" fontId="1" numFmtId="165" xfId="0" applyFont="1" applyNumberFormat="1"/>
    <xf borderId="0" fillId="0" fontId="1" numFmtId="10" xfId="0" applyFont="1" applyNumberFormat="1"/>
    <xf borderId="0" fillId="0" fontId="1" numFmtId="9" xfId="0" applyFont="1" applyNumberForma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3" xfId="0" applyAlignment="1" applyFont="1" applyNumberFormat="1">
      <alignment horizontal="left" readingOrder="0" shrinkToFit="0" vertical="center" wrapText="0"/>
    </xf>
    <xf borderId="0" fillId="0" fontId="1" numFmtId="10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3" xfId="0" applyAlignment="1" applyFont="1" applyNumberFormat="1">
      <alignment horizontal="left" readingOrder="0" shrinkToFit="0" vertical="center" wrapText="0"/>
    </xf>
    <xf borderId="0" fillId="0" fontId="1" numFmtId="168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168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9" xfId="0" applyAlignment="1" applyFont="1" applyNumberFormat="1">
      <alignment readingOrder="0" shrinkToFit="0" vertical="center" wrapText="0"/>
    </xf>
    <xf borderId="0" fillId="0" fontId="1" numFmtId="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</dxfs>
  <tableStyles count="5">
    <tableStyle count="4" pivot="0" name="Summ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Countries-style">
      <tableStyleElement dxfId="1" type="headerRow"/>
      <tableStyleElement dxfId="2" type="firstRowStripe"/>
      <tableStyleElement dxfId="5" type="secondRowStripe"/>
      <tableStyleElement dxfId="6" type="totalRow"/>
      <tableStyleElement dxfId="4" size="0" type="wholeTable"/>
    </tableStyle>
    <tableStyle count="4" pivot="0" name="Shipments by country-style">
      <tableStyleElement dxfId="7" type="headerRow"/>
      <tableStyleElement dxfId="2" type="firstRowStripe"/>
      <tableStyleElement dxfId="5" type="secondRowStripe"/>
      <tableStyleElement dxfId="4" size="0" type="wholeTable"/>
    </tableStyle>
    <tableStyle count="4" pivot="0" name="Vaccine efficacy curv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accine pricin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7" displayName="Table1" name="Table1" id="1">
  <tableColumns count="5">
    <tableColumn name="Impact metric" id="1"/>
    <tableColumn name="Immediate roll-out" id="2"/>
    <tableColumn name="Six-month roll-out" id="3"/>
    <tableColumn name="Waning efficacy" id="4"/>
    <tableColumn name="Six-month roll-out + waning efficacy" id="5"/>
  </tableColumns>
  <tableStyleInfo name="Summary-style" showColumnStripes="0" showFirstColumn="1" showLastColumn="1" showRowStripes="1"/>
</table>
</file>

<file path=xl/tables/table2.xml><?xml version="1.0" encoding="utf-8"?>
<table xmlns="http://schemas.openxmlformats.org/spreadsheetml/2006/main" totalsRowCount="1" ref="A1:BB47" displayName="Summary" name="Summary" id="2">
  <tableColumns count="54">
    <tableColumn totalsRowLabel="Total" name="Country" id="1"/>
    <tableColumn totalsRowFunction="custom" name="RTS,S doses delivered" id="2"/>
    <tableColumn totalsRowFunction="custom" name="R21 doses delivered" id="3"/>
    <tableColumn totalsRowFunction="custom" name="RTS,S + R21 doses delivered" id="4"/>
    <tableColumn totalsRowFunction="custom" name="Total RTS,S doses allocated" id="5"/>
    <tableColumn totalsRowFunction="custom" name="Total R21 doses allocated" id="6"/>
    <tableColumn totalsRowFunction="custom" name="Total RTS,S + R21 doses allocated" id="7"/>
    <tableColumn name="Gavi income group" id="8"/>
    <tableColumn totalsRowFunction="custom" name="PMI funding, USD (2023)" id="9"/>
    <tableColumn totalsRowFunction="custom" name="Population at risk (2023)" id="10"/>
    <tableColumn totalsRowFunction="custom" name="Population under five (2023)" id="11"/>
    <tableColumn totalsRowFunction="custom" name="Eligible population (2023, 6-60 months)" id="12"/>
    <tableColumn totalsRowFunction="custom" name="Eligible population covered" id="13"/>
    <tableColumn name="Fraction of eligible population covered (6-60 months)" id="14"/>
    <tableColumn totalsRowFunction="custom" name="Eligible population not covered (6-60 months)" id="15"/>
    <tableColumn name="Fraction of eligible population not covered (6-60 months)" id="16"/>
    <tableColumn totalsRowFunction="custom" name="Total malaria cases per year (2023)" id="17"/>
    <tableColumn totalsRowFunction="custom" name="Total malaria deaths per year (2023)" id="18"/>
    <tableColumn name="Malaria cases per million at risk per year" id="19"/>
    <tableColumn name="Malaria deaths per million at risk per year" id="20"/>
    <tableColumn totalsRowFunction="custom" name="New cases averted per year (immediate roll-out)" id="21"/>
    <tableColumn totalsRowFunction="custom" name="Total cases averted so far (immediate roll-out)" id="22"/>
    <tableColumn totalsRowFunction="custom" name="New lives saved per year (immediate roll-out)" id="23"/>
    <tableColumn totalsRowFunction="custom" name="Total lives saved so far (immediate roll-out)" id="24"/>
    <tableColumn totalsRowFunction="custom" name="New cases averted per year (six-month roll-out)" id="25"/>
    <tableColumn totalsRowFunction="custom" name="Total cases averted so far (six-month roll-out)" id="26"/>
    <tableColumn totalsRowFunction="custom" name="New lives saved per year (six-month roll-out)" id="27"/>
    <tableColumn totalsRowFunction="custom" name="Total lives saved so far (six-month roll-out)" id="28"/>
    <tableColumn totalsRowFunction="custom" name="New cases averted per year (waning efficacy)" id="29"/>
    <tableColumn totalsRowFunction="custom" name="Total cases averted so far (waning efficacy)" id="30"/>
    <tableColumn totalsRowFunction="custom" name="New lives saved per year (waning efficacy)" id="31"/>
    <tableColumn totalsRowFunction="custom" name="Total lives saved so far (waning efficacy)" id="32"/>
    <tableColumn totalsRowFunction="custom" name="New cases averted per year (six-month roll-out, waning efficacy)" id="33"/>
    <tableColumn totalsRowFunction="custom" name="Total cases averted so far (six-month roll-out, waning efficacy)" id="34"/>
    <tableColumn totalsRowFunction="custom" name="New lives saved per year (six-month roll-out, waning efficacy)" id="35"/>
    <tableColumn totalsRowFunction="custom" name="Total lives saved so far (six-month roll-out, waning efficacy)" id="36"/>
    <tableColumn totalsRowFunction="custom" name="Current stock of further doses required (6-60 months)" id="37"/>
    <tableColumn totalsRowFunction="custom" name="Cost of current stock of further doses required, R21 (6-60 months, USD)" id="38"/>
    <tableColumn name="Share of existing dose costs funded by Gavi" id="39"/>
    <tableColumn name="Years in co-financing phase (as of 2025)" id="40"/>
    <tableColumn totalsRowFunction="custom" name="Co-financing cost of current stock of further doses required, R21 (6-60 months, USD)" id="41"/>
    <tableColumn name="Average GNI per capita (2021-2023)" id="42"/>
    <tableColumn name="Cost to avert one case, R21" id="43"/>
    <tableColumn name="Cost to save one life, R21" id="44"/>
    <tableColumn totalsRowFunction="custom" name="Births per year" id="45"/>
    <tableColumn totalsRowFunction="custom" name="Flow of new vaccines required per year" id="46"/>
    <tableColumn totalsRowFunction="custom" name="Cost of flow of new vaccines required per year" id="47"/>
    <tableColumn totalsRowFunction="custom" name="Eligible population (2023, 5-36 months)" id="48"/>
    <tableColumn name="Fraction of eligible population covered (5-36 months)" id="49"/>
    <tableColumn totalsRowFunction="custom" name="Eligible population not covered (5-36 months)" id="50"/>
    <tableColumn name="Fraction of eligible population not covered (5-36 months)" id="51"/>
    <tableColumn totalsRowFunction="custom" name="Current stock of further doses required (5-36 months)" id="52"/>
    <tableColumn totalsRowFunction="custom" name="Cost of current stock of further doses required, R21 (5-36 months, USD)" id="53"/>
    <tableColumn name="Co-financing cost of current stock of further doses required, R21 (5-36 months, USD)" id="54"/>
  </tableColumns>
  <tableStyleInfo name="Countries-style" showColumnStripes="0" showFirstColumn="1" showLastColumn="1" showRowStripes="1"/>
</table>
</file>

<file path=xl/tables/table3.xml><?xml version="1.0" encoding="utf-8"?>
<table xmlns="http://schemas.openxmlformats.org/spreadsheetml/2006/main" ref="A1:R131" displayName="Shipments_by_country" name="Shipments_by_country" id="3">
  <tableColumns count="18">
    <tableColumn name="Timestamp" id="1"/>
    <tableColumn name="Country_x000a_" id="2"/>
    <tableColumn name="Vaccine" id="3"/>
    <tableColumn name="Financing" id="4"/>
    <tableColumn name="Delivery date" id="5"/>
    <tableColumn name="Number of doses" id="6"/>
    <tableColumn name="Status" id="7"/>
    <tableColumn name="Children covered" id="8"/>
    <tableColumn name="Time in years since third dose" id="9"/>
    <tableColumn name="Current vaccine efficacy" id="10"/>
    <tableColumn name="Cases averted so far (immediate roll-out)" id="11"/>
    <tableColumn name="Lives saved so far (immediate roll-out)" id="12"/>
    <tableColumn name="Cases averted so far (six-month roll-out)" id="13"/>
    <tableColumn name="Lives saved so far (six-month roll-out)" id="14"/>
    <tableColumn name="Cases averted so far (waning efficacy)" id="15"/>
    <tableColumn name="Lives saved so far (waning efficacy)" id="16"/>
    <tableColumn name="Cases averted so far (six-month roll-out, waning efficacy)" id="17"/>
    <tableColumn name="Lives saved so far (six-month roll-out, waning efficacy)" id="18"/>
  </tableColumns>
  <tableStyleInfo name="Shipments by country-style" showColumnStripes="0" showFirstColumn="1" showLastColumn="1" showRowStripes="1"/>
</table>
</file>

<file path=xl/tables/table4.xml><?xml version="1.0" encoding="utf-8"?>
<table xmlns="http://schemas.openxmlformats.org/spreadsheetml/2006/main" ref="A1:G3" displayName="Vaccine_efficacy_curves" name="Vaccine_efficacy_curves" id="4">
  <tableColumns count="7">
    <tableColumn name="Vaccine" id="1"/>
    <tableColumn name="Time 1 (years)" id="2"/>
    <tableColumn name="Efficacy at time 1" id="3"/>
    <tableColumn name="Time 2 (years)" id="4"/>
    <tableColumn name="Efficacy at time 2" id="5"/>
    <tableColumn name="Time 3 (years)" id="6"/>
    <tableColumn name="Efficacy at time 3" id="7"/>
  </tableColumns>
  <tableStyleInfo name="Vaccine efficacy curves-style" showColumnStripes="0" showFirstColumn="1" showLastColumn="1" showRowStripes="1"/>
</table>
</file>

<file path=xl/tables/table5.xml><?xml version="1.0" encoding="utf-8"?>
<table xmlns="http://schemas.openxmlformats.org/spreadsheetml/2006/main" ref="A1:B3" displayName="Vaccine_pricing" name="Vaccine_pricing" id="5">
  <tableColumns count="2">
    <tableColumn name="Vaccine" id="1"/>
    <tableColumn name="Base price (USD)" id="2"/>
  </tableColumns>
  <tableStyleInfo name="Vaccine pric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Relationship Id="rId5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0.38"/>
    <col customWidth="1" min="2" max="2" width="25.75"/>
    <col customWidth="1" min="3" max="3" width="21.88"/>
    <col customWidth="1" min="4" max="4" width="21.25"/>
    <col customWidth="1" min="5" max="5" width="31.88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3" t="s">
        <v>5</v>
      </c>
      <c r="B2" s="4">
        <f>Summary[[#TOTALS],[Total cases averted so far (immediate roll-out)]]</f>
        <v>182661.9632</v>
      </c>
      <c r="C2" s="5">
        <f>Summary[[#TOTALS],[Total cases averted so far (six-month roll-out)]]</f>
        <v>124515.6062</v>
      </c>
      <c r="D2" s="5">
        <f>Summary[[#TOTALS],[Total cases averted so far (waning efficacy)]]</f>
        <v>180580.6261</v>
      </c>
      <c r="E2" s="5">
        <f>Summary[[#TOTALS],[Total cases averted so far (six-month roll-out, waning efficacy)]]</f>
        <v>466871.3038</v>
      </c>
    </row>
    <row r="3" ht="22.5" customHeight="1">
      <c r="A3" s="3" t="s">
        <v>6</v>
      </c>
      <c r="B3" s="4">
        <f>Summary[[#TOTALS],[Total lives saved so far (immediate roll-out)]]</f>
        <v>1472324.448</v>
      </c>
      <c r="C3" s="5">
        <f>Summary[[#TOTALS],[Total lives saved so far (six-month roll-out)]]</f>
        <v>993520.5805</v>
      </c>
      <c r="D3" s="5">
        <f>Summary[[#TOTALS],[Total lives saved so far (waning efficacy)]]</f>
        <v>1446310.896</v>
      </c>
      <c r="E3" s="5">
        <f>Summary[[#TOTALS],[Total lives saved so far (six-month roll-out, waning efficacy)]]</f>
        <v>978.6768577</v>
      </c>
    </row>
    <row r="4" ht="22.5" customHeight="1">
      <c r="C4" s="5"/>
      <c r="D4" s="5"/>
      <c r="E4" s="5"/>
    </row>
    <row r="5" ht="22.5" customHeight="1">
      <c r="A5" s="3" t="s">
        <v>7</v>
      </c>
      <c r="B5" s="4">
        <f>IFERROR(__xludf.DUMMYFUNCTION("SUM(
 FILTER(
   'Shipments by country'!H2:H1001 *
   ( INDEX(Countries!S2:S1001, MATCH('Shipments by country'!B2:B1001, Countries!A2:A1001, 0) ) / 1000000 ) *
   INDEX('Vaccine efficacy curves'!C$2:C1001, MATCH('Shipments by country'!C2:C1001, 'Vaccine e"&amp;"fficacy curves'!A$2:A1001, 0) ),
   ('Shipments by country'!E2:E1001 &lt; NOW()) *
   ('Shipments by country'!I2:I1001 &gt; 0)
 )
)
"),2292774.6125103454)</f>
        <v>2292774.613</v>
      </c>
      <c r="C5" s="5">
        <f>IFERROR(__xludf.DUMMYFUNCTION("SUM(
 FILTER(
   'Shipments by country'!H2:H1001 *
   ( INDEX(Countries!S2:S1001, MATCH('Shipments by country'!B2:B1001, Countries!A2:A1001, 0) ) / 1000000 ) *
   INDEX('Vaccine efficacy curves'!C$2:C1001, MATCH('Shipments by country'!C2:C1001, 'Vaccine e"&amp;"fficacy curves'!A$2:A1001, 0) ),
   ('Shipments by country'!E2:E1001 &lt; NOW()) *
   ('Shipments by country'!I2:I1001 &gt; 0.25)
 )
)
"),1993636.7970195666)</f>
        <v>1993636.797</v>
      </c>
      <c r="D5" s="5">
        <f>IFERROR(__xludf.DUMMYFUNCTION("SUM( FILTER( 'Shipments by country'!H2:H1001 * ( INDEX(Countries!S2:S1001, MATCH('Shipments by country'!B2:B1001, Countries!A2:A1001, 0))/1000000 ) * 'Shipments by country'!J2:J1001, ('Shipments by country'!E2:E1001 &lt; NOW()) * ('Shipments by country'!I2:I"&amp;"1001 &gt; 0) ) )"),2747634.823742303)</f>
        <v>2747634.824</v>
      </c>
      <c r="E5" s="5">
        <f>IFERROR(__xludf.DUMMYFUNCTION("SUM( FILTER( 'Shipments by country'!H2:H1001 * ( INDEX(Countries!S2:S1001, MATCH('Shipments by country'!B2:B1001, Countries!A2:A1001, 0))/1000000 ) * 'Shipments by country'!J2:J1001, ('Shipments by country'!E2:E1001 &lt; NOW()) * ('Shipments by country'!I2:I"&amp;"1001 &gt; 0.25) ) )"),2371580.3980284315)</f>
        <v>2371580.398</v>
      </c>
    </row>
    <row r="6" ht="22.5" customHeight="1">
      <c r="A6" s="3" t="s">
        <v>8</v>
      </c>
      <c r="B6" s="6">
        <f t="shared" ref="B6:E6" si="1">B5/365.25</f>
        <v>6277.274778</v>
      </c>
      <c r="C6" s="5">
        <f t="shared" si="1"/>
        <v>5458.280074</v>
      </c>
      <c r="D6" s="5">
        <f t="shared" si="1"/>
        <v>7522.614165</v>
      </c>
      <c r="E6" s="5">
        <f t="shared" si="1"/>
        <v>6493.033259</v>
      </c>
    </row>
    <row r="7" ht="22.5" customHeight="1">
      <c r="A7" s="3" t="s">
        <v>9</v>
      </c>
      <c r="B7" s="5">
        <f t="shared" ref="B7:E7" si="2">B6/24</f>
        <v>261.5531157</v>
      </c>
      <c r="C7" s="5">
        <f t="shared" si="2"/>
        <v>227.4283364</v>
      </c>
      <c r="D7" s="5">
        <f t="shared" si="2"/>
        <v>313.4422569</v>
      </c>
      <c r="E7" s="5">
        <f t="shared" si="2"/>
        <v>270.5430525</v>
      </c>
    </row>
    <row r="8" ht="22.5" customHeight="1">
      <c r="A8" s="3" t="s">
        <v>10</v>
      </c>
      <c r="B8" s="5">
        <f t="shared" ref="B8:E8" si="3">B7/60</f>
        <v>4.359218596</v>
      </c>
      <c r="C8" s="5">
        <f t="shared" si="3"/>
        <v>3.790472274</v>
      </c>
      <c r="D8" s="5">
        <f t="shared" si="3"/>
        <v>5.224037615</v>
      </c>
      <c r="E8" s="5">
        <f t="shared" si="3"/>
        <v>4.509050875</v>
      </c>
    </row>
    <row r="9" ht="22.5" customHeight="1">
      <c r="A9" s="3"/>
      <c r="B9" s="5"/>
      <c r="C9" s="5"/>
      <c r="D9" s="5"/>
      <c r="E9" s="5"/>
    </row>
    <row r="10" ht="22.5" customHeight="1">
      <c r="A10" s="3" t="s">
        <v>11</v>
      </c>
      <c r="B10" s="5">
        <f>IFERROR(__xludf.DUMMYFUNCTION("SUM(
 FILTER(
   'Shipments by country'!H2:H1001 *
   ( INDEX(Countries!T2:T1001, MATCH('Shipments by country'!B2:B1001, Countries!A2:A1001, 0) ) / 1000000 ) *
   INDEX('Vaccine efficacy curves'!C$2:C1001, MATCH('Shipments by country'!C2:C1001, 'Vaccine e"&amp;"fficacy curves'!A$2:A1001, 0) ),
   ('Shipments by country'!E2:E1001 &lt; NOW()) *
   ('Shipments by country'!I2:I1001 &gt; 0)
 )
)
"),4548.166149970364)</f>
        <v>4548.16615</v>
      </c>
      <c r="C10" s="5">
        <f>IFERROR(__xludf.DUMMYFUNCTION("SUM(
 FILTER(
   'Shipments by country'!H2:H1001 *
   ( INDEX(Countries!T2:T1001, MATCH('Shipments by country'!B2:B1001, Countries!A2:A1001, 0) ) / 1000000 ) *
   INDEX('Vaccine efficacy curves'!C$2:C1001, MATCH('Shipments by country'!C2:C1001, 'Vaccine e"&amp;"fficacy curves'!A$2:A1001, 0) ),
   ('Shipments by country'!E2:E1001 &lt; NOW()) *
   ('Shipments by country'!I2:I1001 &gt; 0.25)
 )
)
"),3954.767880830597)</f>
        <v>3954.767881</v>
      </c>
      <c r="D10" s="5">
        <f>IFERROR(__xludf.DUMMYFUNCTION("SUM( FILTER( 'Shipments by country'!H2:H1001 * ( INDEX(Countries!T2:T1001, MATCH('Shipments by country'!B2:B1001, Countries!A2:A1001, 0))/1000000 ) * 'Shipments by country'!J2:J1001, ('Shipments by country'!E2:E1001 &lt; NOW()) * ('Shipments by country'!I2:I"&amp;"1001 &gt; 0) ) )"),5450.4701987004155)</f>
        <v>5450.470199</v>
      </c>
      <c r="E10" s="5">
        <f>IFERROR(__xludf.DUMMYFUNCTION("SUM( FILTER( 'Shipments by country'!H2:H1001 * ( INDEX(Countries!T2:T1001, MATCH('Shipments by country'!B2:B1001, Countries!A2:A1001, 0))/1000000 ) * 'Shipments by country'!J2:J1001, ('Shipments by country'!E2:E1001 &lt; NOW()) * ('Shipments by country'!I2:I"&amp;"1001 &gt; 0.25) ) )"),4704.492813812281)</f>
        <v>4704.492814</v>
      </c>
    </row>
    <row r="11" ht="22.5" customHeight="1">
      <c r="A11" s="3" t="s">
        <v>12</v>
      </c>
      <c r="B11" s="5">
        <f t="shared" ref="B11:E11" si="4">B10/365.25</f>
        <v>12.45220027</v>
      </c>
      <c r="C11" s="5">
        <f t="shared" si="4"/>
        <v>10.82756436</v>
      </c>
      <c r="D11" s="5">
        <f t="shared" si="4"/>
        <v>14.92257412</v>
      </c>
      <c r="E11" s="5">
        <f t="shared" si="4"/>
        <v>12.88019935</v>
      </c>
    </row>
    <row r="12" ht="22.5" customHeight="1">
      <c r="C12" s="5"/>
      <c r="D12" s="5"/>
      <c r="E12" s="5"/>
    </row>
    <row r="13" ht="22.5" customHeight="1">
      <c r="A13" s="3" t="s">
        <v>13</v>
      </c>
      <c r="B13" s="5">
        <f>MAX(
  'Shipments by country'!I2:I1001
)
*
SUMPRODUCT(
  Countries!J2:J1001,
  Countries!S2:S1001
)
/1000000
</f>
        <v>495609351.8</v>
      </c>
      <c r="C13" s="5">
        <f>MAX(
  'Shipments by country'!I2:I1001
)
*
SUMPRODUCT(
  Countries!J2:J1001,
  Countries!S2:S1001
)
/1000000
</f>
        <v>495609351.8</v>
      </c>
      <c r="D13" s="5">
        <f>MAX(
  'Shipments by country'!I2:I1001
)
*
SUMPRODUCT(
  Countries!J2:J1001,
  Countries!S2:S1001
)
/1000000
</f>
        <v>495609351.8</v>
      </c>
      <c r="E13" s="5">
        <f>MAX(
  'Shipments by country'!I2:I1001
)
*
SUMPRODUCT(
  Countries!J2:J1001,
  Countries!S2:S1001
)
/1000000
</f>
        <v>495609351.8</v>
      </c>
    </row>
    <row r="14" ht="22.5" customHeight="1">
      <c r="A14" s="3" t="s">
        <v>14</v>
      </c>
      <c r="B14" s="5">
        <f>MAX(
  'Shipments by country'!I2:I1001
)
*
SUMPRODUCT(
  Countries!J2:J1001,
  Countries!T2:T1001
)
/1000000
</f>
        <v>1144503.077</v>
      </c>
      <c r="C14" s="5">
        <f>MAX(
  'Shipments by country'!I2:I1001
)
*
SUMPRODUCT(
  Countries!J2:J1001,
  Countries!T2:T1001
)
/1000000
</f>
        <v>1144503.077</v>
      </c>
      <c r="D14" s="5">
        <f>MAX(
  'Shipments by country'!I2:I1001
)
*
SUMPRODUCT(
  Countries!J2:J1001,
  Countries!T2:T1001
)
/1000000
</f>
        <v>1144503.077</v>
      </c>
      <c r="E14" s="5">
        <f>MAX(
  'Shipments by country'!I2:I1001
)
*
SUMPRODUCT(
  Countries!J2:J1001,
  Countries!T2:T1001
)
/1000000
</f>
        <v>1144503.077</v>
      </c>
    </row>
    <row r="15" ht="22.5" customHeight="1">
      <c r="C15" s="5"/>
      <c r="D15" s="5"/>
      <c r="E15" s="5"/>
    </row>
    <row r="16" ht="22.5" customHeight="1">
      <c r="A16" s="3" t="s">
        <v>15</v>
      </c>
      <c r="B16" s="7">
        <f t="shared" ref="B16:E16" si="5">B2/B13</f>
        <v>0.0003685603643</v>
      </c>
      <c r="C16" s="7">
        <f t="shared" si="5"/>
        <v>0.0002512374025</v>
      </c>
      <c r="D16" s="7">
        <f t="shared" si="5"/>
        <v>0.0003643608125</v>
      </c>
      <c r="E16" s="7">
        <f t="shared" si="5"/>
        <v>0.0009420147181</v>
      </c>
    </row>
    <row r="17" ht="22.5" customHeight="1">
      <c r="A17" s="3" t="s">
        <v>16</v>
      </c>
      <c r="B17" s="7">
        <f t="shared" ref="B17:E17" si="6">B3/B14</f>
        <v>1.286431183</v>
      </c>
      <c r="C17" s="7">
        <f t="shared" si="6"/>
        <v>0.8680803051</v>
      </c>
      <c r="D17" s="7">
        <f t="shared" si="6"/>
        <v>1.263702059</v>
      </c>
      <c r="E17" s="7">
        <f t="shared" si="6"/>
        <v>0.0008551107264</v>
      </c>
    </row>
    <row r="18">
      <c r="C18" s="8"/>
    </row>
    <row r="19">
      <c r="C19" s="8"/>
    </row>
    <row r="20">
      <c r="C20" s="8"/>
    </row>
    <row r="21">
      <c r="C21" s="8"/>
    </row>
    <row r="22">
      <c r="C22" s="8"/>
    </row>
    <row r="23">
      <c r="C23" s="8"/>
    </row>
    <row r="24">
      <c r="C24" s="8"/>
    </row>
    <row r="25">
      <c r="C25" s="8"/>
    </row>
    <row r="26">
      <c r="C26" s="8"/>
    </row>
    <row r="27">
      <c r="C27" s="8"/>
    </row>
    <row r="28">
      <c r="C28" s="8"/>
    </row>
    <row r="29">
      <c r="C29" s="8"/>
    </row>
    <row r="30">
      <c r="C30" s="8"/>
    </row>
    <row r="31">
      <c r="C31" s="8"/>
    </row>
    <row r="32">
      <c r="C32" s="8"/>
    </row>
    <row r="33">
      <c r="C33" s="8"/>
    </row>
    <row r="34">
      <c r="C34" s="8"/>
    </row>
    <row r="35">
      <c r="C35" s="8"/>
    </row>
    <row r="36">
      <c r="C36" s="8"/>
    </row>
    <row r="37">
      <c r="C37" s="8"/>
    </row>
    <row r="38">
      <c r="C38" s="8"/>
    </row>
    <row r="39">
      <c r="C39" s="8"/>
    </row>
    <row r="40">
      <c r="C40" s="8"/>
    </row>
    <row r="41">
      <c r="C41" s="8"/>
    </row>
    <row r="42">
      <c r="C42" s="8"/>
    </row>
    <row r="43">
      <c r="C43" s="8"/>
    </row>
    <row r="44">
      <c r="C44" s="8"/>
    </row>
    <row r="45">
      <c r="C45" s="8"/>
    </row>
    <row r="46">
      <c r="C46" s="8"/>
    </row>
    <row r="47">
      <c r="C47" s="8"/>
    </row>
    <row r="48">
      <c r="C48" s="8"/>
    </row>
    <row r="49">
      <c r="C49" s="8"/>
    </row>
    <row r="50">
      <c r="C50" s="8"/>
    </row>
    <row r="51">
      <c r="C51" s="8"/>
    </row>
    <row r="52">
      <c r="C52" s="8"/>
    </row>
    <row r="53">
      <c r="C53" s="8"/>
    </row>
    <row r="54">
      <c r="C54" s="8"/>
    </row>
    <row r="55">
      <c r="C55" s="8"/>
    </row>
    <row r="56">
      <c r="C56" s="8"/>
    </row>
    <row r="57">
      <c r="C57" s="8"/>
    </row>
    <row r="58">
      <c r="C58" s="8"/>
    </row>
    <row r="59">
      <c r="C59" s="8"/>
    </row>
    <row r="60">
      <c r="C60" s="8"/>
    </row>
    <row r="61">
      <c r="C61" s="8"/>
    </row>
    <row r="62">
      <c r="C62" s="8"/>
    </row>
    <row r="63">
      <c r="C63" s="8"/>
    </row>
    <row r="64">
      <c r="C64" s="8"/>
    </row>
    <row r="65">
      <c r="C65" s="8"/>
    </row>
    <row r="66">
      <c r="C66" s="8"/>
    </row>
    <row r="67">
      <c r="C67" s="8"/>
    </row>
    <row r="68">
      <c r="C68" s="8"/>
    </row>
    <row r="69">
      <c r="C69" s="8"/>
    </row>
    <row r="70">
      <c r="C70" s="8"/>
    </row>
    <row r="71">
      <c r="C71" s="8"/>
    </row>
    <row r="72">
      <c r="C72" s="8"/>
    </row>
    <row r="73">
      <c r="C73" s="8"/>
    </row>
    <row r="74">
      <c r="C74" s="8"/>
    </row>
    <row r="75">
      <c r="C75" s="8"/>
    </row>
    <row r="76">
      <c r="C76" s="8"/>
    </row>
    <row r="77">
      <c r="C77" s="8"/>
    </row>
    <row r="78">
      <c r="C78" s="8"/>
    </row>
    <row r="79">
      <c r="C79" s="8"/>
    </row>
    <row r="80">
      <c r="C80" s="8"/>
    </row>
    <row r="81">
      <c r="C81" s="8"/>
    </row>
    <row r="82">
      <c r="C82" s="8"/>
    </row>
    <row r="83">
      <c r="C83" s="8"/>
    </row>
    <row r="84">
      <c r="C84" s="8"/>
    </row>
    <row r="85">
      <c r="C85" s="8"/>
    </row>
    <row r="86">
      <c r="C86" s="8"/>
    </row>
    <row r="87">
      <c r="C87" s="8"/>
    </row>
    <row r="88">
      <c r="C88" s="8"/>
    </row>
    <row r="89">
      <c r="C89" s="8"/>
    </row>
    <row r="90">
      <c r="C90" s="8"/>
    </row>
    <row r="91">
      <c r="C91" s="8"/>
    </row>
    <row r="92">
      <c r="C92" s="8"/>
    </row>
    <row r="93">
      <c r="C93" s="8"/>
    </row>
    <row r="94">
      <c r="C94" s="8"/>
    </row>
    <row r="95">
      <c r="C95" s="8"/>
    </row>
    <row r="96">
      <c r="C96" s="8"/>
    </row>
    <row r="97">
      <c r="C97" s="8"/>
    </row>
    <row r="98">
      <c r="C98" s="8"/>
    </row>
    <row r="99">
      <c r="C99" s="8"/>
    </row>
    <row r="100">
      <c r="C100" s="8"/>
    </row>
    <row r="101">
      <c r="C101" s="8"/>
    </row>
    <row r="102">
      <c r="C102" s="8"/>
    </row>
    <row r="103">
      <c r="C103" s="8"/>
    </row>
    <row r="104">
      <c r="C104" s="8"/>
    </row>
    <row r="105">
      <c r="C105" s="8"/>
    </row>
    <row r="106">
      <c r="C106" s="8"/>
    </row>
    <row r="107">
      <c r="C107" s="8"/>
    </row>
    <row r="108">
      <c r="C108" s="8"/>
    </row>
    <row r="109">
      <c r="C109" s="8"/>
    </row>
    <row r="110">
      <c r="C110" s="8"/>
    </row>
    <row r="111">
      <c r="C111" s="8"/>
    </row>
    <row r="112">
      <c r="C112" s="8"/>
    </row>
    <row r="113">
      <c r="C113" s="8"/>
    </row>
    <row r="114">
      <c r="C114" s="8"/>
    </row>
    <row r="115">
      <c r="C115" s="8"/>
    </row>
    <row r="116">
      <c r="C116" s="8"/>
    </row>
    <row r="117">
      <c r="C117" s="8"/>
    </row>
    <row r="118">
      <c r="C118" s="8"/>
    </row>
    <row r="119">
      <c r="C119" s="8"/>
    </row>
    <row r="120">
      <c r="C120" s="8"/>
    </row>
    <row r="121">
      <c r="C121" s="8"/>
    </row>
    <row r="122">
      <c r="C122" s="8"/>
    </row>
    <row r="123">
      <c r="C123" s="8"/>
    </row>
    <row r="124">
      <c r="C124" s="8"/>
    </row>
    <row r="125">
      <c r="C125" s="8"/>
    </row>
    <row r="126">
      <c r="C126" s="8"/>
    </row>
    <row r="127">
      <c r="C127" s="8"/>
    </row>
    <row r="128">
      <c r="C128" s="8"/>
    </row>
    <row r="129">
      <c r="C129" s="8"/>
    </row>
    <row r="130">
      <c r="C130" s="8"/>
    </row>
    <row r="131">
      <c r="C131" s="8"/>
    </row>
    <row r="132">
      <c r="C132" s="8"/>
    </row>
    <row r="133">
      <c r="C133" s="8"/>
    </row>
    <row r="134">
      <c r="C134" s="8"/>
    </row>
    <row r="135">
      <c r="C135" s="8"/>
    </row>
    <row r="136">
      <c r="C136" s="8"/>
    </row>
    <row r="137">
      <c r="C137" s="8"/>
    </row>
    <row r="138">
      <c r="C138" s="8"/>
    </row>
    <row r="139">
      <c r="C139" s="8"/>
    </row>
    <row r="140">
      <c r="C140" s="8"/>
    </row>
    <row r="141">
      <c r="C141" s="8"/>
    </row>
    <row r="142">
      <c r="C142" s="8"/>
    </row>
    <row r="143">
      <c r="C143" s="8"/>
    </row>
    <row r="144">
      <c r="C144" s="8"/>
    </row>
    <row r="145">
      <c r="C145" s="8"/>
    </row>
    <row r="146">
      <c r="C146" s="8"/>
    </row>
    <row r="147">
      <c r="C147" s="8"/>
    </row>
    <row r="148">
      <c r="C148" s="8"/>
    </row>
    <row r="149">
      <c r="C149" s="8"/>
    </row>
    <row r="150">
      <c r="C150" s="8"/>
    </row>
    <row r="151">
      <c r="C151" s="8"/>
    </row>
    <row r="152">
      <c r="C152" s="8"/>
    </row>
    <row r="153">
      <c r="C153" s="8"/>
    </row>
    <row r="154">
      <c r="C154" s="8"/>
    </row>
    <row r="155">
      <c r="C155" s="8"/>
    </row>
    <row r="156">
      <c r="C156" s="8"/>
    </row>
    <row r="157">
      <c r="C157" s="8"/>
    </row>
    <row r="158">
      <c r="C158" s="8"/>
    </row>
    <row r="159">
      <c r="C159" s="8"/>
    </row>
    <row r="160">
      <c r="C160" s="8"/>
    </row>
    <row r="161">
      <c r="C161" s="8"/>
    </row>
    <row r="162">
      <c r="C162" s="8"/>
    </row>
    <row r="163">
      <c r="C163" s="8"/>
    </row>
    <row r="164">
      <c r="C164" s="8"/>
    </row>
    <row r="165">
      <c r="C165" s="8"/>
    </row>
    <row r="166">
      <c r="C166" s="8"/>
    </row>
    <row r="167">
      <c r="C167" s="8"/>
    </row>
    <row r="168">
      <c r="C168" s="8"/>
    </row>
    <row r="169">
      <c r="C169" s="8"/>
    </row>
    <row r="170">
      <c r="C170" s="8"/>
    </row>
    <row r="171">
      <c r="C171" s="8"/>
    </row>
    <row r="172">
      <c r="C172" s="8"/>
    </row>
    <row r="173">
      <c r="C173" s="8"/>
    </row>
    <row r="174">
      <c r="C174" s="8"/>
    </row>
    <row r="175">
      <c r="C175" s="8"/>
    </row>
    <row r="176">
      <c r="C176" s="8"/>
    </row>
    <row r="177">
      <c r="C177" s="8"/>
    </row>
    <row r="178">
      <c r="C178" s="8"/>
    </row>
    <row r="179">
      <c r="C179" s="8"/>
    </row>
    <row r="180">
      <c r="C180" s="8"/>
    </row>
    <row r="181">
      <c r="C181" s="8"/>
    </row>
    <row r="182">
      <c r="C182" s="8"/>
    </row>
    <row r="183">
      <c r="C183" s="8"/>
    </row>
    <row r="184">
      <c r="C184" s="8"/>
    </row>
    <row r="185">
      <c r="C185" s="8"/>
    </row>
    <row r="186">
      <c r="C186" s="8"/>
    </row>
    <row r="187">
      <c r="C187" s="8"/>
    </row>
    <row r="188">
      <c r="C188" s="8"/>
    </row>
    <row r="189">
      <c r="C189" s="8"/>
    </row>
    <row r="190">
      <c r="C190" s="8"/>
    </row>
    <row r="191">
      <c r="C191" s="8"/>
    </row>
    <row r="192">
      <c r="C192" s="8"/>
    </row>
    <row r="193">
      <c r="C193" s="8"/>
    </row>
    <row r="194">
      <c r="C194" s="8"/>
    </row>
    <row r="195">
      <c r="C195" s="8"/>
    </row>
    <row r="196">
      <c r="C196" s="8"/>
    </row>
    <row r="197">
      <c r="C197" s="8"/>
    </row>
    <row r="198">
      <c r="C198" s="8"/>
    </row>
    <row r="199">
      <c r="C199" s="8"/>
    </row>
    <row r="200">
      <c r="C200" s="8"/>
    </row>
    <row r="201">
      <c r="C201" s="8"/>
    </row>
    <row r="202">
      <c r="C202" s="8"/>
    </row>
    <row r="203">
      <c r="C203" s="8"/>
    </row>
    <row r="204">
      <c r="C204" s="8"/>
    </row>
    <row r="205">
      <c r="C205" s="8"/>
    </row>
    <row r="206">
      <c r="C206" s="8"/>
    </row>
    <row r="207">
      <c r="C207" s="8"/>
    </row>
    <row r="208">
      <c r="C208" s="8"/>
    </row>
    <row r="209">
      <c r="C209" s="8"/>
    </row>
    <row r="210">
      <c r="C210" s="8"/>
    </row>
    <row r="211">
      <c r="C211" s="8"/>
    </row>
    <row r="212">
      <c r="C212" s="8"/>
    </row>
    <row r="213">
      <c r="C213" s="8"/>
    </row>
    <row r="214">
      <c r="C214" s="8"/>
    </row>
    <row r="215">
      <c r="C215" s="8"/>
    </row>
    <row r="216">
      <c r="C216" s="8"/>
    </row>
    <row r="217">
      <c r="C217" s="8"/>
    </row>
    <row r="218">
      <c r="C218" s="8"/>
    </row>
    <row r="219">
      <c r="C219" s="8"/>
    </row>
    <row r="220">
      <c r="C220" s="8"/>
    </row>
    <row r="221">
      <c r="C221" s="8"/>
    </row>
    <row r="222">
      <c r="C222" s="8"/>
    </row>
    <row r="223">
      <c r="C223" s="8"/>
    </row>
    <row r="224">
      <c r="C224" s="8"/>
    </row>
    <row r="225">
      <c r="C225" s="8"/>
    </row>
    <row r="226">
      <c r="C226" s="8"/>
    </row>
    <row r="227">
      <c r="C227" s="8"/>
    </row>
    <row r="228">
      <c r="C228" s="8"/>
    </row>
    <row r="229">
      <c r="C229" s="8"/>
    </row>
    <row r="230">
      <c r="C230" s="8"/>
    </row>
    <row r="231">
      <c r="C231" s="8"/>
    </row>
    <row r="232">
      <c r="C232" s="8"/>
    </row>
    <row r="233">
      <c r="C233" s="8"/>
    </row>
    <row r="234">
      <c r="C234" s="8"/>
    </row>
    <row r="235">
      <c r="C235" s="8"/>
    </row>
    <row r="236">
      <c r="C236" s="8"/>
    </row>
    <row r="237">
      <c r="C237" s="8"/>
    </row>
    <row r="238">
      <c r="C238" s="8"/>
    </row>
    <row r="239">
      <c r="C239" s="8"/>
    </row>
    <row r="240">
      <c r="C240" s="8"/>
    </row>
    <row r="241">
      <c r="C241" s="8"/>
    </row>
    <row r="242">
      <c r="C242" s="8"/>
    </row>
    <row r="243">
      <c r="C243" s="8"/>
    </row>
    <row r="244">
      <c r="C244" s="8"/>
    </row>
    <row r="245">
      <c r="C245" s="8"/>
    </row>
    <row r="246">
      <c r="C246" s="8"/>
    </row>
    <row r="247">
      <c r="C247" s="8"/>
    </row>
    <row r="248">
      <c r="C248" s="8"/>
    </row>
    <row r="249">
      <c r="C249" s="8"/>
    </row>
    <row r="250">
      <c r="C250" s="8"/>
    </row>
    <row r="251">
      <c r="C251" s="8"/>
    </row>
    <row r="252">
      <c r="C252" s="8"/>
    </row>
    <row r="253">
      <c r="C253" s="8"/>
    </row>
    <row r="254">
      <c r="C254" s="8"/>
    </row>
    <row r="255">
      <c r="C255" s="8"/>
    </row>
    <row r="256">
      <c r="C256" s="8"/>
    </row>
    <row r="257">
      <c r="C257" s="8"/>
    </row>
    <row r="258">
      <c r="C258" s="8"/>
    </row>
    <row r="259">
      <c r="C259" s="8"/>
    </row>
    <row r="260">
      <c r="C260" s="8"/>
    </row>
    <row r="261">
      <c r="C261" s="8"/>
    </row>
    <row r="262">
      <c r="C262" s="8"/>
    </row>
    <row r="263">
      <c r="C263" s="8"/>
    </row>
    <row r="264">
      <c r="C264" s="8"/>
    </row>
    <row r="265">
      <c r="C265" s="8"/>
    </row>
    <row r="266">
      <c r="C266" s="8"/>
    </row>
    <row r="267">
      <c r="C267" s="8"/>
    </row>
    <row r="268">
      <c r="C268" s="8"/>
    </row>
    <row r="269">
      <c r="C269" s="8"/>
    </row>
    <row r="270">
      <c r="C270" s="8"/>
    </row>
    <row r="271">
      <c r="C271" s="8"/>
    </row>
    <row r="272">
      <c r="C272" s="8"/>
    </row>
    <row r="273">
      <c r="C273" s="8"/>
    </row>
    <row r="274">
      <c r="C274" s="8"/>
    </row>
    <row r="275">
      <c r="C275" s="8"/>
    </row>
    <row r="276">
      <c r="C276" s="8"/>
    </row>
    <row r="277">
      <c r="C277" s="8"/>
    </row>
    <row r="278">
      <c r="C278" s="8"/>
    </row>
    <row r="279">
      <c r="C279" s="8"/>
    </row>
    <row r="280">
      <c r="C280" s="8"/>
    </row>
    <row r="281">
      <c r="C281" s="8"/>
    </row>
    <row r="282">
      <c r="C282" s="8"/>
    </row>
    <row r="283">
      <c r="C283" s="8"/>
    </row>
    <row r="284">
      <c r="C284" s="8"/>
    </row>
    <row r="285">
      <c r="C285" s="8"/>
    </row>
    <row r="286">
      <c r="C286" s="8"/>
    </row>
    <row r="287">
      <c r="C287" s="8"/>
    </row>
    <row r="288">
      <c r="C288" s="8"/>
    </row>
    <row r="289">
      <c r="C289" s="8"/>
    </row>
    <row r="290">
      <c r="C290" s="8"/>
    </row>
    <row r="291">
      <c r="C291" s="8"/>
    </row>
    <row r="292">
      <c r="C292" s="8"/>
    </row>
    <row r="293">
      <c r="C293" s="8"/>
    </row>
    <row r="294">
      <c r="C294" s="8"/>
    </row>
    <row r="295">
      <c r="C295" s="8"/>
    </row>
    <row r="296">
      <c r="C296" s="8"/>
    </row>
    <row r="297">
      <c r="C297" s="8"/>
    </row>
    <row r="298">
      <c r="C298" s="8"/>
    </row>
    <row r="299">
      <c r="C299" s="8"/>
    </row>
    <row r="300">
      <c r="C300" s="8"/>
    </row>
    <row r="301">
      <c r="C301" s="8"/>
    </row>
    <row r="302">
      <c r="C302" s="8"/>
    </row>
    <row r="303">
      <c r="C303" s="8"/>
    </row>
    <row r="304">
      <c r="C304" s="8"/>
    </row>
    <row r="305">
      <c r="C305" s="8"/>
    </row>
    <row r="306">
      <c r="C306" s="8"/>
    </row>
    <row r="307">
      <c r="C307" s="8"/>
    </row>
    <row r="308">
      <c r="C308" s="8"/>
    </row>
    <row r="309">
      <c r="C309" s="8"/>
    </row>
    <row r="310">
      <c r="C310" s="8"/>
    </row>
    <row r="311">
      <c r="C311" s="8"/>
    </row>
    <row r="312">
      <c r="C312" s="8"/>
    </row>
    <row r="313">
      <c r="C313" s="8"/>
    </row>
    <row r="314">
      <c r="C314" s="8"/>
    </row>
    <row r="315">
      <c r="C315" s="8"/>
    </row>
    <row r="316">
      <c r="C316" s="8"/>
    </row>
    <row r="317">
      <c r="C317" s="8"/>
    </row>
    <row r="318">
      <c r="C318" s="8"/>
    </row>
    <row r="319">
      <c r="C319" s="8"/>
    </row>
    <row r="320">
      <c r="C320" s="8"/>
    </row>
    <row r="321">
      <c r="C321" s="8"/>
    </row>
    <row r="322">
      <c r="C322" s="8"/>
    </row>
    <row r="323">
      <c r="C323" s="8"/>
    </row>
    <row r="324">
      <c r="C324" s="8"/>
    </row>
    <row r="325">
      <c r="C325" s="8"/>
    </row>
    <row r="326">
      <c r="C326" s="8"/>
    </row>
    <row r="327">
      <c r="C327" s="8"/>
    </row>
    <row r="328">
      <c r="C328" s="8"/>
    </row>
    <row r="329">
      <c r="C329" s="8"/>
    </row>
    <row r="330">
      <c r="C330" s="8"/>
    </row>
    <row r="331">
      <c r="C331" s="8"/>
    </row>
    <row r="332">
      <c r="C332" s="8"/>
    </row>
    <row r="333">
      <c r="C333" s="8"/>
    </row>
    <row r="334">
      <c r="C334" s="8"/>
    </row>
    <row r="335">
      <c r="C335" s="8"/>
    </row>
    <row r="336">
      <c r="C336" s="8"/>
    </row>
    <row r="337">
      <c r="C337" s="8"/>
    </row>
    <row r="338">
      <c r="C338" s="8"/>
    </row>
    <row r="339">
      <c r="C339" s="8"/>
    </row>
    <row r="340">
      <c r="C340" s="8"/>
    </row>
    <row r="341">
      <c r="C341" s="8"/>
    </row>
    <row r="342">
      <c r="C342" s="8"/>
    </row>
    <row r="343">
      <c r="C343" s="8"/>
    </row>
    <row r="344">
      <c r="C344" s="8"/>
    </row>
    <row r="345">
      <c r="C345" s="8"/>
    </row>
    <row r="346">
      <c r="C346" s="8"/>
    </row>
    <row r="347">
      <c r="C347" s="8"/>
    </row>
    <row r="348">
      <c r="C348" s="8"/>
    </row>
    <row r="349">
      <c r="C349" s="8"/>
    </row>
    <row r="350">
      <c r="C350" s="8"/>
    </row>
    <row r="351">
      <c r="C351" s="8"/>
    </row>
    <row r="352">
      <c r="C352" s="8"/>
    </row>
    <row r="353">
      <c r="C353" s="8"/>
    </row>
    <row r="354">
      <c r="C354" s="8"/>
    </row>
    <row r="355">
      <c r="C355" s="8"/>
    </row>
    <row r="356">
      <c r="C356" s="8"/>
    </row>
    <row r="357">
      <c r="C357" s="8"/>
    </row>
    <row r="358">
      <c r="C358" s="8"/>
    </row>
    <row r="359">
      <c r="C359" s="8"/>
    </row>
    <row r="360">
      <c r="C360" s="8"/>
    </row>
    <row r="361">
      <c r="C361" s="8"/>
    </row>
    <row r="362">
      <c r="C362" s="8"/>
    </row>
    <row r="363">
      <c r="C363" s="8"/>
    </row>
    <row r="364">
      <c r="C364" s="8"/>
    </row>
    <row r="365">
      <c r="C365" s="8"/>
    </row>
    <row r="366">
      <c r="C366" s="8"/>
    </row>
    <row r="367">
      <c r="C367" s="8"/>
    </row>
    <row r="368">
      <c r="C368" s="8"/>
    </row>
    <row r="369">
      <c r="C369" s="8"/>
    </row>
    <row r="370">
      <c r="C370" s="8"/>
    </row>
    <row r="371">
      <c r="C371" s="8"/>
    </row>
    <row r="372">
      <c r="C372" s="8"/>
    </row>
    <row r="373">
      <c r="C373" s="8"/>
    </row>
    <row r="374">
      <c r="C374" s="8"/>
    </row>
    <row r="375">
      <c r="C375" s="8"/>
    </row>
    <row r="376">
      <c r="C376" s="8"/>
    </row>
    <row r="377">
      <c r="C377" s="8"/>
    </row>
    <row r="378">
      <c r="C378" s="8"/>
    </row>
    <row r="379">
      <c r="C379" s="8"/>
    </row>
    <row r="380">
      <c r="C380" s="8"/>
    </row>
    <row r="381">
      <c r="C381" s="8"/>
    </row>
    <row r="382">
      <c r="C382" s="8"/>
    </row>
    <row r="383">
      <c r="C383" s="8"/>
    </row>
    <row r="384">
      <c r="C384" s="8"/>
    </row>
    <row r="385">
      <c r="C385" s="8"/>
    </row>
    <row r="386">
      <c r="C386" s="8"/>
    </row>
    <row r="387">
      <c r="C387" s="8"/>
    </row>
    <row r="388">
      <c r="C388" s="8"/>
    </row>
    <row r="389">
      <c r="C389" s="8"/>
    </row>
    <row r="390">
      <c r="C390" s="8"/>
    </row>
    <row r="391">
      <c r="C391" s="8"/>
    </row>
    <row r="392">
      <c r="C392" s="8"/>
    </row>
    <row r="393">
      <c r="C393" s="8"/>
    </row>
    <row r="394">
      <c r="C394" s="8"/>
    </row>
    <row r="395">
      <c r="C395" s="8"/>
    </row>
    <row r="396">
      <c r="C396" s="8"/>
    </row>
    <row r="397">
      <c r="C397" s="8"/>
    </row>
    <row r="398">
      <c r="C398" s="8"/>
    </row>
    <row r="399">
      <c r="C399" s="8"/>
    </row>
    <row r="400">
      <c r="C400" s="8"/>
    </row>
    <row r="401">
      <c r="C401" s="8"/>
    </row>
    <row r="402">
      <c r="C402" s="8"/>
    </row>
    <row r="403">
      <c r="C403" s="8"/>
    </row>
    <row r="404">
      <c r="C404" s="8"/>
    </row>
    <row r="405">
      <c r="C405" s="8"/>
    </row>
    <row r="406">
      <c r="C406" s="8"/>
    </row>
    <row r="407">
      <c r="C407" s="8"/>
    </row>
    <row r="408">
      <c r="C408" s="8"/>
    </row>
    <row r="409">
      <c r="C409" s="8"/>
    </row>
    <row r="410">
      <c r="C410" s="8"/>
    </row>
    <row r="411">
      <c r="C411" s="8"/>
    </row>
    <row r="412">
      <c r="C412" s="8"/>
    </row>
    <row r="413">
      <c r="C413" s="8"/>
    </row>
    <row r="414">
      <c r="C414" s="8"/>
    </row>
    <row r="415">
      <c r="C415" s="8"/>
    </row>
    <row r="416">
      <c r="C416" s="8"/>
    </row>
    <row r="417">
      <c r="C417" s="8"/>
    </row>
    <row r="418">
      <c r="C418" s="8"/>
    </row>
    <row r="419">
      <c r="C419" s="8"/>
    </row>
    <row r="420">
      <c r="C420" s="8"/>
    </row>
    <row r="421">
      <c r="C421" s="8"/>
    </row>
    <row r="422">
      <c r="C422" s="8"/>
    </row>
    <row r="423">
      <c r="C423" s="8"/>
    </row>
    <row r="424">
      <c r="C424" s="8"/>
    </row>
    <row r="425">
      <c r="C425" s="8"/>
    </row>
    <row r="426">
      <c r="C426" s="8"/>
    </row>
    <row r="427">
      <c r="C427" s="8"/>
    </row>
    <row r="428">
      <c r="C428" s="8"/>
    </row>
    <row r="429">
      <c r="C429" s="8"/>
    </row>
    <row r="430">
      <c r="C430" s="8"/>
    </row>
    <row r="431">
      <c r="C431" s="8"/>
    </row>
    <row r="432">
      <c r="C432" s="8"/>
    </row>
    <row r="433">
      <c r="C433" s="8"/>
    </row>
    <row r="434">
      <c r="C434" s="8"/>
    </row>
    <row r="435">
      <c r="C435" s="8"/>
    </row>
    <row r="436">
      <c r="C436" s="8"/>
    </row>
    <row r="437">
      <c r="C437" s="8"/>
    </row>
    <row r="438">
      <c r="C438" s="8"/>
    </row>
    <row r="439">
      <c r="C439" s="8"/>
    </row>
    <row r="440">
      <c r="C440" s="8"/>
    </row>
    <row r="441">
      <c r="C441" s="8"/>
    </row>
    <row r="442">
      <c r="C442" s="8"/>
    </row>
    <row r="443">
      <c r="C443" s="8"/>
    </row>
    <row r="444">
      <c r="C444" s="8"/>
    </row>
    <row r="445">
      <c r="C445" s="8"/>
    </row>
    <row r="446">
      <c r="C446" s="8"/>
    </row>
    <row r="447">
      <c r="C447" s="8"/>
    </row>
    <row r="448">
      <c r="C448" s="8"/>
    </row>
    <row r="449">
      <c r="C449" s="8"/>
    </row>
    <row r="450">
      <c r="C450" s="8"/>
    </row>
    <row r="451">
      <c r="C451" s="8"/>
    </row>
    <row r="452">
      <c r="C452" s="8"/>
    </row>
    <row r="453">
      <c r="C453" s="8"/>
    </row>
    <row r="454">
      <c r="C454" s="8"/>
    </row>
    <row r="455">
      <c r="C455" s="8"/>
    </row>
    <row r="456">
      <c r="C456" s="8"/>
    </row>
    <row r="457">
      <c r="C457" s="8"/>
    </row>
    <row r="458">
      <c r="C458" s="8"/>
    </row>
    <row r="459">
      <c r="C459" s="8"/>
    </row>
    <row r="460">
      <c r="C460" s="8"/>
    </row>
    <row r="461">
      <c r="C461" s="8"/>
    </row>
    <row r="462">
      <c r="C462" s="8"/>
    </row>
    <row r="463">
      <c r="C463" s="8"/>
    </row>
    <row r="464">
      <c r="C464" s="8"/>
    </row>
    <row r="465">
      <c r="C465" s="8"/>
    </row>
    <row r="466">
      <c r="C466" s="8"/>
    </row>
    <row r="467">
      <c r="C467" s="8"/>
    </row>
    <row r="468">
      <c r="C468" s="8"/>
    </row>
    <row r="469">
      <c r="C469" s="8"/>
    </row>
    <row r="470">
      <c r="C470" s="8"/>
    </row>
    <row r="471">
      <c r="C471" s="8"/>
    </row>
    <row r="472">
      <c r="C472" s="8"/>
    </row>
    <row r="473">
      <c r="C473" s="8"/>
    </row>
    <row r="474">
      <c r="C474" s="8"/>
    </row>
    <row r="475">
      <c r="C475" s="8"/>
    </row>
    <row r="476">
      <c r="C476" s="8"/>
    </row>
    <row r="477">
      <c r="C477" s="8"/>
    </row>
    <row r="478">
      <c r="C478" s="8"/>
    </row>
    <row r="479">
      <c r="C479" s="8"/>
    </row>
    <row r="480">
      <c r="C480" s="8"/>
    </row>
    <row r="481">
      <c r="C481" s="8"/>
    </row>
    <row r="482">
      <c r="C482" s="8"/>
    </row>
    <row r="483">
      <c r="C483" s="8"/>
    </row>
    <row r="484">
      <c r="C484" s="8"/>
    </row>
    <row r="485">
      <c r="C485" s="8"/>
    </row>
    <row r="486">
      <c r="C486" s="8"/>
    </row>
    <row r="487">
      <c r="C487" s="8"/>
    </row>
    <row r="488">
      <c r="C488" s="8"/>
    </row>
    <row r="489">
      <c r="C489" s="8"/>
    </row>
    <row r="490">
      <c r="C490" s="8"/>
    </row>
    <row r="491">
      <c r="C491" s="8"/>
    </row>
    <row r="492">
      <c r="C492" s="8"/>
    </row>
    <row r="493">
      <c r="C493" s="8"/>
    </row>
    <row r="494">
      <c r="C494" s="8"/>
    </row>
    <row r="495">
      <c r="C495" s="8"/>
    </row>
    <row r="496">
      <c r="C496" s="8"/>
    </row>
    <row r="497">
      <c r="C497" s="8"/>
    </row>
    <row r="498">
      <c r="C498" s="8"/>
    </row>
    <row r="499">
      <c r="C499" s="8"/>
    </row>
    <row r="500">
      <c r="C500" s="8"/>
    </row>
    <row r="501">
      <c r="C501" s="8"/>
    </row>
    <row r="502">
      <c r="C502" s="8"/>
    </row>
    <row r="503">
      <c r="C503" s="8"/>
    </row>
    <row r="504">
      <c r="C504" s="8"/>
    </row>
    <row r="505">
      <c r="C505" s="8"/>
    </row>
    <row r="506">
      <c r="C506" s="8"/>
    </row>
    <row r="507">
      <c r="C507" s="8"/>
    </row>
    <row r="508">
      <c r="C508" s="8"/>
    </row>
    <row r="509">
      <c r="C509" s="8"/>
    </row>
    <row r="510">
      <c r="C510" s="8"/>
    </row>
    <row r="511">
      <c r="C511" s="8"/>
    </row>
    <row r="512">
      <c r="C512" s="8"/>
    </row>
    <row r="513">
      <c r="C513" s="8"/>
    </row>
    <row r="514">
      <c r="C514" s="8"/>
    </row>
    <row r="515">
      <c r="C515" s="8"/>
    </row>
    <row r="516">
      <c r="C516" s="8"/>
    </row>
    <row r="517">
      <c r="C517" s="8"/>
    </row>
    <row r="518">
      <c r="C518" s="8"/>
    </row>
    <row r="519">
      <c r="C519" s="8"/>
    </row>
    <row r="520">
      <c r="C520" s="8"/>
    </row>
    <row r="521">
      <c r="C521" s="8"/>
    </row>
    <row r="522">
      <c r="C522" s="8"/>
    </row>
    <row r="523">
      <c r="C523" s="8"/>
    </row>
    <row r="524">
      <c r="C524" s="8"/>
    </row>
    <row r="525">
      <c r="C525" s="8"/>
    </row>
    <row r="526">
      <c r="C526" s="8"/>
    </row>
    <row r="527">
      <c r="C527" s="8"/>
    </row>
    <row r="528">
      <c r="C528" s="8"/>
    </row>
    <row r="529">
      <c r="C529" s="8"/>
    </row>
    <row r="530">
      <c r="C530" s="8"/>
    </row>
    <row r="531">
      <c r="C531" s="8"/>
    </row>
    <row r="532">
      <c r="C532" s="8"/>
    </row>
    <row r="533">
      <c r="C533" s="8"/>
    </row>
    <row r="534">
      <c r="C534" s="8"/>
    </row>
    <row r="535">
      <c r="C535" s="8"/>
    </row>
    <row r="536">
      <c r="C536" s="8"/>
    </row>
    <row r="537">
      <c r="C537" s="8"/>
    </row>
    <row r="538">
      <c r="C538" s="8"/>
    </row>
    <row r="539">
      <c r="C539" s="8"/>
    </row>
    <row r="540">
      <c r="C540" s="8"/>
    </row>
    <row r="541">
      <c r="C541" s="8"/>
    </row>
    <row r="542">
      <c r="C542" s="8"/>
    </row>
    <row r="543">
      <c r="C543" s="8"/>
    </row>
    <row r="544">
      <c r="C544" s="8"/>
    </row>
    <row r="545">
      <c r="C545" s="8"/>
    </row>
    <row r="546">
      <c r="C546" s="8"/>
    </row>
    <row r="547">
      <c r="C547" s="8"/>
    </row>
    <row r="548">
      <c r="C548" s="8"/>
    </row>
    <row r="549">
      <c r="C549" s="8"/>
    </row>
    <row r="550">
      <c r="C550" s="8"/>
    </row>
    <row r="551">
      <c r="C551" s="8"/>
    </row>
    <row r="552">
      <c r="C552" s="8"/>
    </row>
    <row r="553">
      <c r="C553" s="8"/>
    </row>
    <row r="554">
      <c r="C554" s="8"/>
    </row>
    <row r="555">
      <c r="C555" s="8"/>
    </row>
    <row r="556">
      <c r="C556" s="8"/>
    </row>
    <row r="557">
      <c r="C557" s="8"/>
    </row>
    <row r="558">
      <c r="C558" s="8"/>
    </row>
    <row r="559">
      <c r="C559" s="8"/>
    </row>
    <row r="560">
      <c r="C560" s="8"/>
    </row>
    <row r="561">
      <c r="C561" s="8"/>
    </row>
    <row r="562">
      <c r="C562" s="8"/>
    </row>
    <row r="563">
      <c r="C563" s="8"/>
    </row>
    <row r="564">
      <c r="C564" s="8"/>
    </row>
    <row r="565">
      <c r="C565" s="8"/>
    </row>
    <row r="566">
      <c r="C566" s="8"/>
    </row>
    <row r="567">
      <c r="C567" s="8"/>
    </row>
    <row r="568">
      <c r="C568" s="8"/>
    </row>
    <row r="569">
      <c r="C569" s="8"/>
    </row>
    <row r="570">
      <c r="C570" s="8"/>
    </row>
    <row r="571">
      <c r="C571" s="8"/>
    </row>
    <row r="572">
      <c r="C572" s="8"/>
    </row>
    <row r="573">
      <c r="C573" s="8"/>
    </row>
    <row r="574">
      <c r="C574" s="8"/>
    </row>
    <row r="575">
      <c r="C575" s="8"/>
    </row>
    <row r="576">
      <c r="C576" s="8"/>
    </row>
    <row r="577">
      <c r="C577" s="8"/>
    </row>
    <row r="578">
      <c r="C578" s="8"/>
    </row>
    <row r="579">
      <c r="C579" s="8"/>
    </row>
    <row r="580">
      <c r="C580" s="8"/>
    </row>
    <row r="581">
      <c r="C581" s="8"/>
    </row>
    <row r="582">
      <c r="C582" s="8"/>
    </row>
    <row r="583">
      <c r="C583" s="8"/>
    </row>
    <row r="584">
      <c r="C584" s="8"/>
    </row>
    <row r="585">
      <c r="C585" s="8"/>
    </row>
    <row r="586">
      <c r="C586" s="8"/>
    </row>
    <row r="587">
      <c r="C587" s="8"/>
    </row>
    <row r="588">
      <c r="C588" s="8"/>
    </row>
    <row r="589">
      <c r="C589" s="8"/>
    </row>
    <row r="590">
      <c r="C590" s="8"/>
    </row>
    <row r="591">
      <c r="C591" s="8"/>
    </row>
    <row r="592">
      <c r="C592" s="8"/>
    </row>
    <row r="593">
      <c r="C593" s="8"/>
    </row>
    <row r="594">
      <c r="C594" s="8"/>
    </row>
    <row r="595">
      <c r="C595" s="8"/>
    </row>
    <row r="596">
      <c r="C596" s="8"/>
    </row>
    <row r="597">
      <c r="C597" s="8"/>
    </row>
    <row r="598">
      <c r="C598" s="8"/>
    </row>
    <row r="599">
      <c r="C599" s="8"/>
    </row>
    <row r="600">
      <c r="C600" s="8"/>
    </row>
    <row r="601">
      <c r="C601" s="8"/>
    </row>
    <row r="602">
      <c r="C602" s="8"/>
    </row>
    <row r="603">
      <c r="C603" s="8"/>
    </row>
    <row r="604">
      <c r="C604" s="8"/>
    </row>
    <row r="605">
      <c r="C605" s="8"/>
    </row>
    <row r="606">
      <c r="C606" s="8"/>
    </row>
    <row r="607">
      <c r="C607" s="8"/>
    </row>
    <row r="608">
      <c r="C608" s="8"/>
    </row>
    <row r="609">
      <c r="C609" s="8"/>
    </row>
    <row r="610">
      <c r="C610" s="8"/>
    </row>
    <row r="611">
      <c r="C611" s="8"/>
    </row>
    <row r="612">
      <c r="C612" s="8"/>
    </row>
    <row r="613">
      <c r="C613" s="8"/>
    </row>
    <row r="614">
      <c r="C614" s="8"/>
    </row>
    <row r="615">
      <c r="C615" s="8"/>
    </row>
    <row r="616">
      <c r="C616" s="8"/>
    </row>
    <row r="617">
      <c r="C617" s="8"/>
    </row>
    <row r="618">
      <c r="C618" s="8"/>
    </row>
    <row r="619">
      <c r="C619" s="8"/>
    </row>
    <row r="620">
      <c r="C620" s="8"/>
    </row>
    <row r="621">
      <c r="C621" s="8"/>
    </row>
    <row r="622">
      <c r="C622" s="8"/>
    </row>
    <row r="623">
      <c r="C623" s="8"/>
    </row>
    <row r="624">
      <c r="C624" s="8"/>
    </row>
    <row r="625">
      <c r="C625" s="8"/>
    </row>
    <row r="626">
      <c r="C626" s="8"/>
    </row>
    <row r="627">
      <c r="C627" s="8"/>
    </row>
    <row r="628">
      <c r="C628" s="8"/>
    </row>
    <row r="629">
      <c r="C629" s="8"/>
    </row>
    <row r="630">
      <c r="C630" s="8"/>
    </row>
    <row r="631">
      <c r="C631" s="8"/>
    </row>
    <row r="632">
      <c r="C632" s="8"/>
    </row>
    <row r="633">
      <c r="C633" s="8"/>
    </row>
    <row r="634">
      <c r="C634" s="8"/>
    </row>
    <row r="635">
      <c r="C635" s="8"/>
    </row>
    <row r="636">
      <c r="C636" s="8"/>
    </row>
    <row r="637">
      <c r="C637" s="8"/>
    </row>
    <row r="638">
      <c r="C638" s="8"/>
    </row>
    <row r="639">
      <c r="C639" s="8"/>
    </row>
    <row r="640">
      <c r="C640" s="8"/>
    </row>
    <row r="641">
      <c r="C641" s="8"/>
    </row>
    <row r="642">
      <c r="C642" s="8"/>
    </row>
    <row r="643">
      <c r="C643" s="8"/>
    </row>
    <row r="644">
      <c r="C644" s="8"/>
    </row>
    <row r="645">
      <c r="C645" s="8"/>
    </row>
    <row r="646">
      <c r="C646" s="8"/>
    </row>
    <row r="647">
      <c r="C647" s="8"/>
    </row>
    <row r="648">
      <c r="C648" s="8"/>
    </row>
    <row r="649">
      <c r="C649" s="8"/>
    </row>
    <row r="650">
      <c r="C650" s="8"/>
    </row>
    <row r="651">
      <c r="C651" s="8"/>
    </row>
    <row r="652">
      <c r="C652" s="8"/>
    </row>
    <row r="653">
      <c r="C653" s="8"/>
    </row>
    <row r="654">
      <c r="C654" s="8"/>
    </row>
    <row r="655">
      <c r="C655" s="8"/>
    </row>
    <row r="656">
      <c r="C656" s="8"/>
    </row>
    <row r="657">
      <c r="C657" s="8"/>
    </row>
    <row r="658">
      <c r="C658" s="8"/>
    </row>
    <row r="659">
      <c r="C659" s="8"/>
    </row>
    <row r="660">
      <c r="C660" s="8"/>
    </row>
    <row r="661">
      <c r="C661" s="8"/>
    </row>
    <row r="662">
      <c r="C662" s="8"/>
    </row>
    <row r="663">
      <c r="C663" s="8"/>
    </row>
    <row r="664">
      <c r="C664" s="8"/>
    </row>
    <row r="665">
      <c r="C665" s="8"/>
    </row>
    <row r="666">
      <c r="C666" s="8"/>
    </row>
    <row r="667">
      <c r="C667" s="8"/>
    </row>
    <row r="668">
      <c r="C668" s="8"/>
    </row>
    <row r="669">
      <c r="C669" s="8"/>
    </row>
    <row r="670">
      <c r="C670" s="8"/>
    </row>
    <row r="671">
      <c r="C671" s="8"/>
    </row>
    <row r="672">
      <c r="C672" s="8"/>
    </row>
    <row r="673">
      <c r="C673" s="8"/>
    </row>
    <row r="674">
      <c r="C674" s="8"/>
    </row>
    <row r="675">
      <c r="C675" s="8"/>
    </row>
    <row r="676">
      <c r="C676" s="8"/>
    </row>
    <row r="677">
      <c r="C677" s="8"/>
    </row>
    <row r="678">
      <c r="C678" s="8"/>
    </row>
    <row r="679">
      <c r="C679" s="8"/>
    </row>
    <row r="680">
      <c r="C680" s="8"/>
    </row>
    <row r="681">
      <c r="C681" s="8"/>
    </row>
    <row r="682">
      <c r="C682" s="8"/>
    </row>
    <row r="683">
      <c r="C683" s="8"/>
    </row>
    <row r="684">
      <c r="C684" s="8"/>
    </row>
    <row r="685">
      <c r="C685" s="8"/>
    </row>
    <row r="686">
      <c r="C686" s="8"/>
    </row>
    <row r="687">
      <c r="C687" s="8"/>
    </row>
    <row r="688">
      <c r="C688" s="8"/>
    </row>
    <row r="689">
      <c r="C689" s="8"/>
    </row>
    <row r="690">
      <c r="C690" s="8"/>
    </row>
    <row r="691">
      <c r="C691" s="8"/>
    </row>
    <row r="692">
      <c r="C692" s="8"/>
    </row>
    <row r="693">
      <c r="C693" s="8"/>
    </row>
    <row r="694">
      <c r="C694" s="8"/>
    </row>
    <row r="695">
      <c r="C695" s="8"/>
    </row>
    <row r="696">
      <c r="C696" s="8"/>
    </row>
    <row r="697">
      <c r="C697" s="8"/>
    </row>
    <row r="698">
      <c r="C698" s="8"/>
    </row>
    <row r="699">
      <c r="C699" s="8"/>
    </row>
    <row r="700">
      <c r="C700" s="8"/>
    </row>
    <row r="701">
      <c r="C701" s="8"/>
    </row>
    <row r="702">
      <c r="C702" s="8"/>
    </row>
    <row r="703">
      <c r="C703" s="8"/>
    </row>
    <row r="704">
      <c r="C704" s="8"/>
    </row>
    <row r="705">
      <c r="C705" s="8"/>
    </row>
    <row r="706">
      <c r="C706" s="8"/>
    </row>
    <row r="707">
      <c r="C707" s="8"/>
    </row>
    <row r="708">
      <c r="C708" s="8"/>
    </row>
    <row r="709">
      <c r="C709" s="8"/>
    </row>
    <row r="710">
      <c r="C710" s="8"/>
    </row>
    <row r="711">
      <c r="C711" s="8"/>
    </row>
    <row r="712">
      <c r="C712" s="8"/>
    </row>
    <row r="713">
      <c r="C713" s="8"/>
    </row>
    <row r="714">
      <c r="C714" s="8"/>
    </row>
    <row r="715">
      <c r="C715" s="8"/>
    </row>
    <row r="716">
      <c r="C716" s="8"/>
    </row>
    <row r="717">
      <c r="C717" s="8"/>
    </row>
    <row r="718">
      <c r="C718" s="8"/>
    </row>
    <row r="719">
      <c r="C719" s="8"/>
    </row>
    <row r="720">
      <c r="C720" s="8"/>
    </row>
    <row r="721">
      <c r="C721" s="8"/>
    </row>
    <row r="722">
      <c r="C722" s="8"/>
    </row>
    <row r="723">
      <c r="C723" s="8"/>
    </row>
    <row r="724">
      <c r="C724" s="8"/>
    </row>
    <row r="725">
      <c r="C725" s="8"/>
    </row>
    <row r="726">
      <c r="C726" s="8"/>
    </row>
    <row r="727">
      <c r="C727" s="8"/>
    </row>
    <row r="728">
      <c r="C728" s="8"/>
    </row>
    <row r="729">
      <c r="C729" s="8"/>
    </row>
    <row r="730">
      <c r="C730" s="8"/>
    </row>
    <row r="731">
      <c r="C731" s="8"/>
    </row>
    <row r="732">
      <c r="C732" s="8"/>
    </row>
    <row r="733">
      <c r="C733" s="8"/>
    </row>
    <row r="734">
      <c r="C734" s="8"/>
    </row>
    <row r="735">
      <c r="C735" s="8"/>
    </row>
    <row r="736">
      <c r="C736" s="8"/>
    </row>
    <row r="737">
      <c r="C737" s="8"/>
    </row>
    <row r="738">
      <c r="C738" s="8"/>
    </row>
    <row r="739">
      <c r="C739" s="8"/>
    </row>
    <row r="740">
      <c r="C740" s="8"/>
    </row>
    <row r="741">
      <c r="C741" s="8"/>
    </row>
    <row r="742">
      <c r="C742" s="8"/>
    </row>
    <row r="743">
      <c r="C743" s="8"/>
    </row>
    <row r="744">
      <c r="C744" s="8"/>
    </row>
    <row r="745">
      <c r="C745" s="8"/>
    </row>
    <row r="746">
      <c r="C746" s="8"/>
    </row>
    <row r="747">
      <c r="C747" s="8"/>
    </row>
    <row r="748">
      <c r="C748" s="8"/>
    </row>
    <row r="749">
      <c r="C749" s="8"/>
    </row>
    <row r="750">
      <c r="C750" s="8"/>
    </row>
    <row r="751">
      <c r="C751" s="8"/>
    </row>
    <row r="752">
      <c r="C752" s="8"/>
    </row>
    <row r="753">
      <c r="C753" s="8"/>
    </row>
    <row r="754">
      <c r="C754" s="8"/>
    </row>
    <row r="755">
      <c r="C755" s="8"/>
    </row>
    <row r="756">
      <c r="C756" s="8"/>
    </row>
    <row r="757">
      <c r="C757" s="8"/>
    </row>
    <row r="758">
      <c r="C758" s="8"/>
    </row>
    <row r="759">
      <c r="C759" s="8"/>
    </row>
    <row r="760">
      <c r="C760" s="8"/>
    </row>
    <row r="761">
      <c r="C761" s="8"/>
    </row>
    <row r="762">
      <c r="C762" s="8"/>
    </row>
    <row r="763">
      <c r="C763" s="8"/>
    </row>
    <row r="764">
      <c r="C764" s="8"/>
    </row>
    <row r="765">
      <c r="C765" s="8"/>
    </row>
    <row r="766">
      <c r="C766" s="8"/>
    </row>
    <row r="767">
      <c r="C767" s="8"/>
    </row>
    <row r="768">
      <c r="C768" s="8"/>
    </row>
    <row r="769">
      <c r="C769" s="8"/>
    </row>
    <row r="770">
      <c r="C770" s="8"/>
    </row>
    <row r="771">
      <c r="C771" s="8"/>
    </row>
    <row r="772">
      <c r="C772" s="8"/>
    </row>
    <row r="773">
      <c r="C773" s="8"/>
    </row>
    <row r="774">
      <c r="C774" s="8"/>
    </row>
    <row r="775">
      <c r="C775" s="8"/>
    </row>
    <row r="776">
      <c r="C776" s="8"/>
    </row>
    <row r="777">
      <c r="C777" s="8"/>
    </row>
    <row r="778">
      <c r="C778" s="8"/>
    </row>
    <row r="779">
      <c r="C779" s="8"/>
    </row>
    <row r="780">
      <c r="C780" s="8"/>
    </row>
    <row r="781">
      <c r="C781" s="8"/>
    </row>
    <row r="782">
      <c r="C782" s="8"/>
    </row>
    <row r="783">
      <c r="C783" s="8"/>
    </row>
    <row r="784">
      <c r="C784" s="8"/>
    </row>
    <row r="785">
      <c r="C785" s="8"/>
    </row>
    <row r="786">
      <c r="C786" s="8"/>
    </row>
    <row r="787">
      <c r="C787" s="8"/>
    </row>
    <row r="788">
      <c r="C788" s="8"/>
    </row>
    <row r="789">
      <c r="C789" s="8"/>
    </row>
    <row r="790">
      <c r="C790" s="8"/>
    </row>
    <row r="791">
      <c r="C791" s="8"/>
    </row>
    <row r="792">
      <c r="C792" s="8"/>
    </row>
    <row r="793">
      <c r="C793" s="8"/>
    </row>
    <row r="794">
      <c r="C794" s="8"/>
    </row>
    <row r="795">
      <c r="C795" s="8"/>
    </row>
    <row r="796">
      <c r="C796" s="8"/>
    </row>
    <row r="797">
      <c r="C797" s="8"/>
    </row>
    <row r="798">
      <c r="C798" s="8"/>
    </row>
    <row r="799">
      <c r="C799" s="8"/>
    </row>
    <row r="800">
      <c r="C800" s="8"/>
    </row>
    <row r="801">
      <c r="C801" s="8"/>
    </row>
    <row r="802">
      <c r="C802" s="8"/>
    </row>
    <row r="803">
      <c r="C803" s="8"/>
    </row>
    <row r="804">
      <c r="C804" s="8"/>
    </row>
    <row r="805">
      <c r="C805" s="8"/>
    </row>
    <row r="806">
      <c r="C806" s="8"/>
    </row>
    <row r="807">
      <c r="C807" s="8"/>
    </row>
    <row r="808">
      <c r="C808" s="8"/>
    </row>
    <row r="809">
      <c r="C809" s="8"/>
    </row>
    <row r="810">
      <c r="C810" s="8"/>
    </row>
    <row r="811">
      <c r="C811" s="8"/>
    </row>
    <row r="812">
      <c r="C812" s="8"/>
    </row>
    <row r="813">
      <c r="C813" s="8"/>
    </row>
    <row r="814">
      <c r="C814" s="8"/>
    </row>
    <row r="815">
      <c r="C815" s="8"/>
    </row>
    <row r="816">
      <c r="C816" s="8"/>
    </row>
    <row r="817">
      <c r="C817" s="8"/>
    </row>
    <row r="818">
      <c r="C818" s="8"/>
    </row>
    <row r="819">
      <c r="C819" s="8"/>
    </row>
    <row r="820">
      <c r="C820" s="8"/>
    </row>
    <row r="821">
      <c r="C821" s="8"/>
    </row>
    <row r="822">
      <c r="C822" s="8"/>
    </row>
    <row r="823">
      <c r="C823" s="8"/>
    </row>
    <row r="824">
      <c r="C824" s="8"/>
    </row>
    <row r="825">
      <c r="C825" s="8"/>
    </row>
    <row r="826">
      <c r="C826" s="8"/>
    </row>
    <row r="827">
      <c r="C827" s="8"/>
    </row>
    <row r="828">
      <c r="C828" s="8"/>
    </row>
    <row r="829">
      <c r="C829" s="8"/>
    </row>
    <row r="830">
      <c r="C830" s="8"/>
    </row>
    <row r="831">
      <c r="C831" s="8"/>
    </row>
    <row r="832">
      <c r="C832" s="8"/>
    </row>
    <row r="833">
      <c r="C833" s="8"/>
    </row>
    <row r="834">
      <c r="C834" s="8"/>
    </row>
    <row r="835">
      <c r="C835" s="8"/>
    </row>
    <row r="836">
      <c r="C836" s="8"/>
    </row>
    <row r="837">
      <c r="C837" s="8"/>
    </row>
    <row r="838">
      <c r="C838" s="8"/>
    </row>
    <row r="839">
      <c r="C839" s="8"/>
    </row>
    <row r="840">
      <c r="C840" s="8"/>
    </row>
    <row r="841">
      <c r="C841" s="8"/>
    </row>
    <row r="842">
      <c r="C842" s="8"/>
    </row>
    <row r="843">
      <c r="C843" s="8"/>
    </row>
    <row r="844">
      <c r="C844" s="8"/>
    </row>
    <row r="845">
      <c r="C845" s="8"/>
    </row>
    <row r="846">
      <c r="C846" s="8"/>
    </row>
    <row r="847">
      <c r="C847" s="8"/>
    </row>
    <row r="848">
      <c r="C848" s="8"/>
    </row>
    <row r="849">
      <c r="C849" s="8"/>
    </row>
    <row r="850">
      <c r="C850" s="8"/>
    </row>
    <row r="851">
      <c r="C851" s="8"/>
    </row>
    <row r="852">
      <c r="C852" s="8"/>
    </row>
    <row r="853">
      <c r="C853" s="8"/>
    </row>
    <row r="854">
      <c r="C854" s="8"/>
    </row>
    <row r="855">
      <c r="C855" s="8"/>
    </row>
    <row r="856">
      <c r="C856" s="8"/>
    </row>
    <row r="857">
      <c r="C857" s="8"/>
    </row>
    <row r="858">
      <c r="C858" s="8"/>
    </row>
    <row r="859">
      <c r="C859" s="8"/>
    </row>
    <row r="860">
      <c r="C860" s="8"/>
    </row>
    <row r="861">
      <c r="C861" s="8"/>
    </row>
    <row r="862">
      <c r="C862" s="8"/>
    </row>
    <row r="863">
      <c r="C863" s="8"/>
    </row>
    <row r="864">
      <c r="C864" s="8"/>
    </row>
    <row r="865">
      <c r="C865" s="8"/>
    </row>
    <row r="866">
      <c r="C866" s="8"/>
    </row>
    <row r="867">
      <c r="C867" s="8"/>
    </row>
    <row r="868">
      <c r="C868" s="8"/>
    </row>
    <row r="869">
      <c r="C869" s="8"/>
    </row>
    <row r="870">
      <c r="C870" s="8"/>
    </row>
    <row r="871">
      <c r="C871" s="8"/>
    </row>
    <row r="872">
      <c r="C872" s="8"/>
    </row>
    <row r="873">
      <c r="C873" s="8"/>
    </row>
    <row r="874">
      <c r="C874" s="8"/>
    </row>
    <row r="875">
      <c r="C875" s="8"/>
    </row>
    <row r="876">
      <c r="C876" s="8"/>
    </row>
    <row r="877">
      <c r="C877" s="8"/>
    </row>
    <row r="878">
      <c r="C878" s="8"/>
    </row>
    <row r="879">
      <c r="C879" s="8"/>
    </row>
    <row r="880">
      <c r="C880" s="8"/>
    </row>
    <row r="881">
      <c r="C881" s="8"/>
    </row>
    <row r="882">
      <c r="C882" s="8"/>
    </row>
    <row r="883">
      <c r="C883" s="8"/>
    </row>
    <row r="884">
      <c r="C884" s="8"/>
    </row>
    <row r="885">
      <c r="C885" s="8"/>
    </row>
    <row r="886">
      <c r="C886" s="8"/>
    </row>
    <row r="887">
      <c r="C887" s="8"/>
    </row>
    <row r="888">
      <c r="C888" s="8"/>
    </row>
    <row r="889">
      <c r="C889" s="8"/>
    </row>
    <row r="890">
      <c r="C890" s="8"/>
    </row>
    <row r="891">
      <c r="C891" s="8"/>
    </row>
    <row r="892">
      <c r="C892" s="8"/>
    </row>
    <row r="893">
      <c r="C893" s="8"/>
    </row>
    <row r="894">
      <c r="C894" s="8"/>
    </row>
    <row r="895">
      <c r="C895" s="8"/>
    </row>
    <row r="896">
      <c r="C896" s="8"/>
    </row>
    <row r="897">
      <c r="C897" s="8"/>
    </row>
    <row r="898">
      <c r="C898" s="8"/>
    </row>
    <row r="899">
      <c r="C899" s="8"/>
    </row>
    <row r="900">
      <c r="C900" s="8"/>
    </row>
    <row r="901">
      <c r="C901" s="8"/>
    </row>
    <row r="902">
      <c r="C902" s="8"/>
    </row>
    <row r="903">
      <c r="C903" s="8"/>
    </row>
    <row r="904">
      <c r="C904" s="8"/>
    </row>
    <row r="905">
      <c r="C905" s="8"/>
    </row>
    <row r="906">
      <c r="C906" s="8"/>
    </row>
    <row r="907">
      <c r="C907" s="8"/>
    </row>
    <row r="908">
      <c r="C908" s="8"/>
    </row>
    <row r="909">
      <c r="C909" s="8"/>
    </row>
    <row r="910">
      <c r="C910" s="8"/>
    </row>
    <row r="911">
      <c r="C911" s="8"/>
    </row>
    <row r="912">
      <c r="C912" s="8"/>
    </row>
    <row r="913">
      <c r="C913" s="8"/>
    </row>
    <row r="914">
      <c r="C914" s="8"/>
    </row>
    <row r="915">
      <c r="C915" s="8"/>
    </row>
    <row r="916">
      <c r="C916" s="8"/>
    </row>
    <row r="917">
      <c r="C917" s="8"/>
    </row>
    <row r="918">
      <c r="C918" s="8"/>
    </row>
    <row r="919">
      <c r="C919" s="8"/>
    </row>
    <row r="920">
      <c r="C920" s="8"/>
    </row>
    <row r="921">
      <c r="C921" s="8"/>
    </row>
    <row r="922">
      <c r="C922" s="8"/>
    </row>
    <row r="923">
      <c r="C923" s="8"/>
    </row>
    <row r="924">
      <c r="C924" s="8"/>
    </row>
    <row r="925">
      <c r="C925" s="8"/>
    </row>
    <row r="926">
      <c r="C926" s="8"/>
    </row>
    <row r="927">
      <c r="C927" s="8"/>
    </row>
    <row r="928">
      <c r="C928" s="8"/>
    </row>
    <row r="929">
      <c r="C929" s="8"/>
    </row>
    <row r="930">
      <c r="C930" s="8"/>
    </row>
    <row r="931">
      <c r="C931" s="8"/>
    </row>
    <row r="932">
      <c r="C932" s="8"/>
    </row>
    <row r="933">
      <c r="C933" s="8"/>
    </row>
    <row r="934">
      <c r="C934" s="8"/>
    </row>
    <row r="935">
      <c r="C935" s="8"/>
    </row>
    <row r="936">
      <c r="C936" s="8"/>
    </row>
    <row r="937">
      <c r="C937" s="8"/>
    </row>
    <row r="938">
      <c r="C938" s="8"/>
    </row>
    <row r="939">
      <c r="C939" s="8"/>
    </row>
    <row r="940">
      <c r="C940" s="8"/>
    </row>
    <row r="941">
      <c r="C941" s="8"/>
    </row>
    <row r="942">
      <c r="C942" s="8"/>
    </row>
    <row r="943">
      <c r="C943" s="8"/>
    </row>
    <row r="944">
      <c r="C944" s="8"/>
    </row>
    <row r="945">
      <c r="C945" s="8"/>
    </row>
    <row r="946">
      <c r="C946" s="8"/>
    </row>
    <row r="947">
      <c r="C947" s="8"/>
    </row>
    <row r="948">
      <c r="C948" s="8"/>
    </row>
    <row r="949">
      <c r="C949" s="8"/>
    </row>
    <row r="950">
      <c r="C950" s="8"/>
    </row>
    <row r="951">
      <c r="C951" s="8"/>
    </row>
    <row r="952">
      <c r="C952" s="8"/>
    </row>
    <row r="953">
      <c r="C953" s="8"/>
    </row>
    <row r="954">
      <c r="C954" s="8"/>
    </row>
    <row r="955">
      <c r="C955" s="8"/>
    </row>
    <row r="956">
      <c r="C956" s="8"/>
    </row>
    <row r="957">
      <c r="C957" s="8"/>
    </row>
    <row r="958">
      <c r="C958" s="8"/>
    </row>
    <row r="959">
      <c r="C959" s="8"/>
    </row>
    <row r="960">
      <c r="C960" s="8"/>
    </row>
    <row r="961">
      <c r="C961" s="8"/>
    </row>
    <row r="962">
      <c r="C962" s="8"/>
    </row>
    <row r="963">
      <c r="C963" s="8"/>
    </row>
    <row r="964">
      <c r="C964" s="8"/>
    </row>
    <row r="965">
      <c r="C965" s="8"/>
    </row>
    <row r="966">
      <c r="C966" s="8"/>
    </row>
    <row r="967">
      <c r="C967" s="8"/>
    </row>
    <row r="968">
      <c r="C968" s="8"/>
    </row>
    <row r="969">
      <c r="C969" s="8"/>
    </row>
    <row r="970">
      <c r="C970" s="8"/>
    </row>
    <row r="971">
      <c r="C971" s="8"/>
    </row>
    <row r="972">
      <c r="C972" s="8"/>
    </row>
    <row r="973">
      <c r="C973" s="8"/>
    </row>
    <row r="974">
      <c r="C974" s="8"/>
    </row>
    <row r="975">
      <c r="C975" s="8"/>
    </row>
    <row r="976">
      <c r="C976" s="8"/>
    </row>
    <row r="977">
      <c r="C977" s="8"/>
    </row>
    <row r="978">
      <c r="C978" s="8"/>
    </row>
    <row r="979">
      <c r="C979" s="8"/>
    </row>
    <row r="980">
      <c r="C980" s="8"/>
    </row>
    <row r="981">
      <c r="C981" s="8"/>
    </row>
    <row r="982">
      <c r="C982" s="8"/>
    </row>
    <row r="983">
      <c r="C983" s="8"/>
    </row>
    <row r="984">
      <c r="C984" s="8"/>
    </row>
    <row r="985">
      <c r="C985" s="8"/>
    </row>
    <row r="986">
      <c r="C986" s="8"/>
    </row>
    <row r="987">
      <c r="C987" s="8"/>
    </row>
    <row r="988">
      <c r="C988" s="8"/>
    </row>
    <row r="989">
      <c r="C989" s="8"/>
    </row>
    <row r="990">
      <c r="C990" s="8"/>
    </row>
    <row r="991">
      <c r="C991" s="8"/>
    </row>
    <row r="992">
      <c r="C992" s="8"/>
    </row>
    <row r="993">
      <c r="C993" s="8"/>
    </row>
    <row r="994">
      <c r="C994" s="8"/>
    </row>
    <row r="995">
      <c r="C995" s="8"/>
    </row>
    <row r="996">
      <c r="C996" s="8"/>
    </row>
    <row r="997">
      <c r="C997" s="8"/>
    </row>
    <row r="998">
      <c r="C998" s="8"/>
    </row>
    <row r="999">
      <c r="C999" s="8"/>
    </row>
    <row r="1000">
      <c r="C1000" s="8"/>
    </row>
    <row r="1001">
      <c r="C1001" s="8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0.13"/>
    <col customWidth="1" min="2" max="2" width="22.25"/>
    <col customWidth="1" min="3" max="3" width="20.63"/>
    <col customWidth="1" min="4" max="4" width="26.88"/>
    <col customWidth="1" min="5" max="5" width="26.38"/>
    <col customWidth="1" min="6" max="6" width="24.88"/>
    <col customWidth="1" min="7" max="7" width="31.0"/>
    <col customWidth="1" min="8" max="8" width="19.5"/>
    <col customWidth="1" min="9" max="9" width="24.13"/>
    <col customWidth="1" min="10" max="10" width="28.88"/>
    <col customWidth="1" min="11" max="11" width="26.88"/>
    <col customWidth="1" min="12" max="12" width="35.25"/>
    <col customWidth="1" min="13" max="13" width="25.75"/>
    <col customWidth="1" min="14" max="14" width="45.38"/>
    <col customWidth="1" min="15" max="15" width="39.75"/>
    <col customWidth="1" min="16" max="16" width="48.25"/>
    <col customWidth="1" min="17" max="17" width="32.0"/>
    <col customWidth="1" min="18" max="18" width="32.63"/>
    <col customWidth="1" min="19" max="19" width="35.88"/>
    <col customWidth="1" min="20" max="20" width="36.63"/>
    <col customWidth="1" min="21" max="21" width="41.63"/>
    <col customWidth="1" min="22" max="22" width="40.25"/>
    <col customWidth="1" min="23" max="23" width="39.5"/>
    <col customWidth="1" min="24" max="24" width="38.13"/>
    <col customWidth="1" min="25" max="25" width="41.25"/>
    <col customWidth="1" min="26" max="26" width="39.88"/>
    <col customWidth="1" min="27" max="27" width="39.13"/>
    <col customWidth="1" min="28" max="28" width="37.75"/>
    <col customWidth="1" min="29" max="29" width="39.5"/>
    <col customWidth="1" min="30" max="30" width="38.13"/>
    <col customWidth="1" min="31" max="31" width="37.25"/>
    <col customWidth="1" min="32" max="32" width="36.0"/>
    <col customWidth="1" min="33" max="33" width="53.88"/>
    <col customWidth="1" min="34" max="34" width="52.5"/>
    <col customWidth="1" min="35" max="35" width="52.13"/>
    <col customWidth="1" min="36" max="36" width="50.25"/>
    <col customWidth="1" min="37" max="37" width="46.0"/>
    <col customWidth="1" min="38" max="38" width="62.63"/>
    <col customWidth="1" min="39" max="39" width="38.25"/>
    <col customWidth="1" min="40" max="40" width="35.88"/>
    <col customWidth="1" min="41" max="41" width="69.25"/>
    <col customWidth="1" min="42" max="42" width="32.63"/>
    <col customWidth="1" min="43" max="43" width="29.25"/>
    <col customWidth="1" min="44" max="44" width="27.75"/>
    <col customWidth="1" min="45" max="45" width="16.5"/>
    <col customWidth="1" min="46" max="46" width="34.63"/>
    <col customWidth="1" min="47" max="47" width="37.63"/>
    <col customWidth="1" min="48" max="48" width="35.25"/>
    <col customWidth="1" min="49" max="49" width="48.63"/>
    <col customWidth="1" min="50" max="50" width="39.75"/>
    <col customWidth="1" min="51" max="51" width="51.5"/>
    <col customWidth="1" min="52" max="52" width="46.0"/>
    <col customWidth="1" min="53" max="53" width="62.63"/>
    <col customWidth="1" min="54" max="54" width="69.25"/>
  </cols>
  <sheetData>
    <row r="1" ht="22.5" customHeight="1">
      <c r="A1" s="9" t="s">
        <v>17</v>
      </c>
      <c r="B1" s="10" t="s">
        <v>18</v>
      </c>
      <c r="C1" s="11" t="s">
        <v>19</v>
      </c>
      <c r="D1" s="9" t="s">
        <v>20</v>
      </c>
      <c r="E1" s="11" t="s">
        <v>21</v>
      </c>
      <c r="F1" s="11" t="s">
        <v>22</v>
      </c>
      <c r="G1" s="11" t="s">
        <v>23</v>
      </c>
      <c r="H1" s="12" t="s">
        <v>24</v>
      </c>
      <c r="I1" s="13" t="s">
        <v>25</v>
      </c>
      <c r="J1" s="14" t="s">
        <v>26</v>
      </c>
      <c r="K1" s="15" t="s">
        <v>27</v>
      </c>
      <c r="L1" s="16" t="s">
        <v>28</v>
      </c>
      <c r="M1" s="17" t="s">
        <v>29</v>
      </c>
      <c r="N1" s="18" t="s">
        <v>30</v>
      </c>
      <c r="O1" s="14" t="s">
        <v>31</v>
      </c>
      <c r="P1" s="14" t="s">
        <v>32</v>
      </c>
      <c r="Q1" s="17" t="s">
        <v>33</v>
      </c>
      <c r="R1" s="17" t="s">
        <v>34</v>
      </c>
      <c r="S1" s="17" t="s">
        <v>35</v>
      </c>
      <c r="T1" s="17" t="s">
        <v>36</v>
      </c>
      <c r="U1" s="16" t="s">
        <v>37</v>
      </c>
      <c r="V1" s="17" t="s">
        <v>38</v>
      </c>
      <c r="W1" s="16" t="s">
        <v>39</v>
      </c>
      <c r="X1" s="17" t="s">
        <v>40</v>
      </c>
      <c r="Y1" s="16" t="s">
        <v>41</v>
      </c>
      <c r="Z1" s="17" t="s">
        <v>42</v>
      </c>
      <c r="AA1" s="16" t="s">
        <v>43</v>
      </c>
      <c r="AB1" s="17" t="s">
        <v>44</v>
      </c>
      <c r="AC1" s="16" t="s">
        <v>45</v>
      </c>
      <c r="AD1" s="17" t="s">
        <v>46</v>
      </c>
      <c r="AE1" s="16" t="s">
        <v>47</v>
      </c>
      <c r="AF1" s="17" t="s">
        <v>48</v>
      </c>
      <c r="AG1" s="16" t="s">
        <v>49</v>
      </c>
      <c r="AH1" s="17" t="s">
        <v>50</v>
      </c>
      <c r="AI1" s="14" t="s">
        <v>51</v>
      </c>
      <c r="AJ1" s="17" t="s">
        <v>52</v>
      </c>
      <c r="AK1" s="14" t="s">
        <v>53</v>
      </c>
      <c r="AL1" s="14" t="s">
        <v>54</v>
      </c>
      <c r="AM1" s="19" t="s">
        <v>55</v>
      </c>
      <c r="AN1" s="16" t="s">
        <v>56</v>
      </c>
      <c r="AO1" s="16" t="s">
        <v>57</v>
      </c>
      <c r="AP1" s="14" t="s">
        <v>58</v>
      </c>
      <c r="AQ1" s="14" t="s">
        <v>59</v>
      </c>
      <c r="AR1" s="14" t="s">
        <v>60</v>
      </c>
      <c r="AS1" s="14" t="s">
        <v>61</v>
      </c>
      <c r="AT1" s="14" t="s">
        <v>62</v>
      </c>
      <c r="AU1" s="14" t="s">
        <v>63</v>
      </c>
      <c r="AV1" s="14" t="s">
        <v>64</v>
      </c>
      <c r="AW1" s="14" t="s">
        <v>65</v>
      </c>
      <c r="AX1" s="14" t="s">
        <v>66</v>
      </c>
      <c r="AY1" s="14" t="s">
        <v>67</v>
      </c>
      <c r="AZ1" s="14" t="s">
        <v>68</v>
      </c>
      <c r="BA1" s="14" t="s">
        <v>69</v>
      </c>
      <c r="BB1" s="14" t="s">
        <v>70</v>
      </c>
    </row>
    <row r="2" ht="22.5" customHeight="1">
      <c r="A2" s="3" t="s">
        <v>71</v>
      </c>
      <c r="B2" s="20">
        <f>SUMIFS('Shipments by country'!F:F, 
        'Shipments by country'!B:B, A2, 
        'Shipments by country'!C:C, "RTS,S", 
        'Shipments by country'!G:G, "Delivered")
</f>
        <v>0</v>
      </c>
      <c r="C2" s="4">
        <f>SUMIFS('Shipments by country'!F:F, 
        'Shipments by country'!B:B, A2, 
        'Shipments by country'!C:C, "R21", 
        'Shipments by country'!G:G, "Delivered")
</f>
        <v>0</v>
      </c>
      <c r="D2" s="20">
        <f t="shared" ref="D2:D46" si="1">B2+C2</f>
        <v>0</v>
      </c>
      <c r="E2" s="4">
        <f>SUMIFS('Shipments by country'!F:F, 
        'Shipments by country'!B:B, A2, 
        'Shipments by country'!C:C, "RTS,S")
</f>
        <v>0</v>
      </c>
      <c r="F2" s="4">
        <f>SUMIFS('Shipments by country'!F:F, 
        'Shipments by country'!B:B, A2, 
        'Shipments by country'!C:C, "R21")
</f>
        <v>0</v>
      </c>
      <c r="G2" s="4">
        <f t="shared" ref="G2:G46" si="2">E2+F2</f>
        <v>0</v>
      </c>
      <c r="H2" s="21" t="s">
        <v>72</v>
      </c>
      <c r="I2" s="6">
        <v>1.9E7</v>
      </c>
      <c r="J2" s="22">
        <v>3.6749906E7</v>
      </c>
      <c r="K2" s="23">
        <v>6219256.0</v>
      </c>
      <c r="L2" s="23">
        <f t="shared" ref="L2:L46" si="3">K2*0.9</f>
        <v>5597330.4</v>
      </c>
      <c r="M2" s="24">
        <f t="shared" ref="M2:M46" si="4">G2/4</f>
        <v>0</v>
      </c>
      <c r="N2" s="25">
        <f t="shared" ref="N2:N46" si="5">M2/L2</f>
        <v>0</v>
      </c>
      <c r="O2" s="23">
        <f t="shared" ref="O2:O46" si="6">L2-M2</f>
        <v>5597330.4</v>
      </c>
      <c r="P2" s="25">
        <f t="shared" ref="P2:P46" si="7">1-N2</f>
        <v>1</v>
      </c>
      <c r="Q2" s="6">
        <v>8251449.0</v>
      </c>
      <c r="R2" s="6">
        <v>16169.0</v>
      </c>
      <c r="S2" s="24">
        <f t="shared" ref="S2:S46" si="8">Q2*1000000/J2</f>
        <v>224529.7988</v>
      </c>
      <c r="T2" s="24">
        <f t="shared" ref="T2:T46" si="9">R2*1000000/J2</f>
        <v>439.9739145</v>
      </c>
      <c r="U2" s="5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$A2) ) ), 0 )"),0.0)</f>
        <v>0</v>
      </c>
      <c r="V2" s="5">
        <f>SUMIF('Shipments by country'!$B:$B,$A2,'Shipments by country'!$K:$K)</f>
        <v>0</v>
      </c>
      <c r="W2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$A2) ) ), 0 )"),0.0)</f>
        <v>0</v>
      </c>
      <c r="X2" s="5">
        <f>SUMIF('Shipments by country'!$B:$B,$A2,'Shipments by country'!$L:$L)</f>
        <v>0</v>
      </c>
      <c r="Y2" s="6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$A2) ) ), 0 )"),0.0)</f>
        <v>0</v>
      </c>
      <c r="Z2" s="5">
        <f>SUMIF('Shipments by country'!$B:$B,$A2,'Shipments by country'!$M:$M)</f>
        <v>0</v>
      </c>
      <c r="AA2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$A2) ) ), 0 )"),0.0)</f>
        <v>0</v>
      </c>
      <c r="AB2" s="5">
        <f>SUMIF('Shipments by country'!$B:$B,$A2,'Shipments by country'!$N:$N)</f>
        <v>0</v>
      </c>
      <c r="AC2" s="5">
        <f>IFERROR(__xludf.DUMMYFUNCTION("IFERROR( SUM( FILTER( 'Shipments by country'!$H$2:$H1023 * ( INDEX(Countries!$S$2:$S1023, MATCH('Shipments by country'!$B$2:$B1023, Countries!$A$2:$A1023, 0) ) / 1000000 ) * 'Shipments by country'!$J$2:$J1023, ('Shipments by country'!$E$2:$E1023 &lt; NOW()) "&amp;"* ('Shipments by country'!$I$2:$I1023 &gt; 0) * ('Shipments by country'!$B$2:$B1023 = $A2) ) ), 0 )"),0.0)</f>
        <v>0</v>
      </c>
      <c r="AD2" s="5">
        <f>SUMIF('Shipments by country'!$B:$B,$A2,'Shipments by country'!$O:$O)</f>
        <v>0</v>
      </c>
      <c r="AE2" s="5">
        <f>IFERROR(__xludf.DUMMYFUNCTION("IFERROR( SUM( FILTER( 'Shipments by country'!$H$2:$H1023 * ( INDEX(Countries!$T$2:$T1023, MATCH('Shipments by country'!$B$2:$B1023, Countries!$A$2:$A1023, 0) ) / 1000000 ) * 'Shipments by country'!$J$2:$J1023, ('Shipments by country'!$E$2:$E1023 &lt; NOW()) "&amp;"* ('Shipments by country'!$I$2:$I1023 &gt; 0) * ('Shipments by country'!$B$2:$B1023 = $A2) ) ), 0 )"),0.0)</f>
        <v>0</v>
      </c>
      <c r="AF2" s="5">
        <f>SUMIF('Shipments by country'!$B:$B,$A2,'Shipments by country'!$P:$P)</f>
        <v>0</v>
      </c>
      <c r="AG2" s="5">
        <f>IFERROR(__xludf.DUMMYFUNCTION("IFERROR(
  SUM(
    FILTER(
      'Shipments by country'!$H$2:$H1023                                *
      INDEX(Countries!$S$2:$S1023,
            MATCH('Shipments by country'!$B$2:$B1023, Countries!$A$2:$A1023, 0)
           ) / 1000000                "&amp;"                                 *
      'Shipments by country'!$J$2:$J1023,
      ( 'Shipments by country'!$E$2:$E1023 &lt;  NOW()           )        *
      ( 'Shipments by country'!$I$2:$I1023 &gt; 0.25             )        *
      ( 'Shipments by country'!$"&amp;"B$2:$B1023 =  $A2             )
    )
  ),
  0
)
"),0.0)</f>
        <v>0</v>
      </c>
      <c r="AH2" s="5">
        <f>SUMIF('Shipments by country'!$B:$B,$A2,'Shipments by country'!$Q:$Q)</f>
        <v>0</v>
      </c>
      <c r="AI2" s="26">
        <f>IFERROR(__xludf.DUMMYFUNCTION("IFERROR(
  SUM(
    FILTER(
      'Shipments by country'!$H$2:$H1023
        * ( INDEX(Countries!$T$2:$T1023,
                 MATCH('Shipments by country'!$B$2:$B1023, Countries!$A$2:$A1023, 0)
               ) / 1000000 )
        * 'Shipments by country"&amp;"'!$J$2:$J1023,
      ('Shipments by country'!$E$2:$E1023 &lt; NOW()) *
      ('Shipments by country'!$I$2:$I1023 &gt; 0.25) *
      ('Shipments by country'!$B$2:$B1023 = $A2)
    )
  ),
  0
)
"),0.0)</f>
        <v>0</v>
      </c>
      <c r="AJ2" s="5">
        <f>SUMIF('Shipments by country'!$B:$B,$A2,'Shipments by country'!$R:$R)</f>
        <v>0</v>
      </c>
      <c r="AK2" s="26">
        <f t="shared" ref="AK2:AK46" si="10">O2*4</f>
        <v>22389321.6</v>
      </c>
      <c r="AL2" s="27">
        <f>AK2*'Vaccine pricing'!B3</f>
        <v>66944071.58</v>
      </c>
      <c r="AM2" s="28" t="str">
        <f>IF($A2="","",
 LET(
  ctry,$A2,
  ctryCol,'Shipments by country'!$B$2:$B1023,
  vaccCol,'Shipments by country'!$C$2:$C1023,
  finCol,'Shipments by country'!$D$2:$D1023,
  doseCol,'Shipments by country'!$F$2:$F1023,
  price,IFERROR(VLOOKUP(vaccCol,'Vaccine pricing'!$A$2:$B1023,2,FALSE),0),
  totCost,SUMPRODUCT((ctryCol=ctry)*doseCol*price),
  gaviCost,SUMPRODUCT((ctryCol=ctry)*(finCol="Gavi")*doseCol*price),
  IF(totCost=0,"",gaviCost/totCost)
 ))
</f>
        <v/>
      </c>
      <c r="AN2" s="24">
        <v>8.0</v>
      </c>
      <c r="AO2" s="27">
        <f t="array" ref="AO2:AO46">IF(AK2:AK46="","",IFS(
H2:H46="Initial self-financing",AK2:AK46*0.2,
H2:H46="Preparatory transition",AK2:AK46*0.2*POWER(1.15,N(AN2:AN46)-1),
H2:H46="Accelerated transition",AK2:AK46*IF(N(AN2:AN46)&lt;9,0.2+0.1*(N(AN2:AN46)-1),1)*'Vaccine pricing'!$B$3,
H2:H46="Fully self-financing",AK2:AK46*'Vaccine pricing'!$B$3,
TRUE,""))
</f>
        <v>66944071.58</v>
      </c>
      <c r="AP2" s="24">
        <v>1933.0</v>
      </c>
      <c r="AQ2" s="29">
        <f>'Vaccine pricing'!$B$3*4/((S2/1000000)*'Vaccine efficacy curves'!$C$3)</f>
        <v>71.02249569</v>
      </c>
      <c r="AR2" s="29">
        <f>'Vaccine pricing'!$B$3*4/((T2/1000000)*'Vaccine efficacy curves'!$C$3)</f>
        <v>36244.57301</v>
      </c>
      <c r="AS2" s="24">
        <f t="shared" ref="AS2:AS46" si="11">K2/5</f>
        <v>1243851.2</v>
      </c>
      <c r="AT2" s="24">
        <f t="shared" ref="AT2:AT46" si="12">AS2*4</f>
        <v>4975404.8</v>
      </c>
      <c r="AU2" s="30">
        <f>AT2*'Vaccine pricing'!B3</f>
        <v>14876460.35</v>
      </c>
      <c r="AV2" s="24">
        <f t="shared" ref="AV2:AV46" si="13">K2*31/60</f>
        <v>3213282.267</v>
      </c>
      <c r="AW2" s="25">
        <f t="shared" ref="AW2:AW46" si="14">M2/AV2</f>
        <v>0</v>
      </c>
      <c r="AX2" s="24">
        <f t="shared" ref="AX2:AX46" si="15">AV2-M2</f>
        <v>3213282.267</v>
      </c>
      <c r="AY2" s="25">
        <f t="shared" ref="AY2:AY46" si="16">1-AW2</f>
        <v>1</v>
      </c>
      <c r="AZ2" s="24">
        <f t="shared" ref="AZ2:AZ46" si="17">AX2*4</f>
        <v>12853129.07</v>
      </c>
      <c r="BA2" s="30">
        <f>AZ2*'Vaccine pricing'!B3</f>
        <v>38430855.91</v>
      </c>
      <c r="BB2" s="30">
        <f t="array" ref="BB2:BB46">IF(AZ2:AZ46="","",IFS(
H2:H46="Initial self-financing",AZ2:AZ46*0.2,
H2:H46="Preparatory transition",AZ2:AZ46*0.2*POWER(1.15,N(AN2:AN46)-1),
H2:H46="Accelerated transition",AZ2:AZ46*IF(N(AN2:AN46)&lt;9,0.2+0.1*(N(AN2:AN46)-1),1)*'Vaccine pricing'!$B$3,
H2:H46="Fully self-financing",AZ2:AZ46*'Vaccine pricing'!$B$3,
TRUE,""))
</f>
        <v>38430855.91</v>
      </c>
    </row>
    <row r="3" ht="22.5" customHeight="1">
      <c r="A3" s="3" t="s">
        <v>73</v>
      </c>
      <c r="B3" s="20">
        <f>SUMIFS('Shipments by country'!F:F, 
        'Shipments by country'!B:B, A3, 
        'Shipments by country'!C:C, "RTS,S", 
        'Shipments by country'!G:G, "Delivered")
</f>
        <v>976600</v>
      </c>
      <c r="C3" s="4">
        <f>SUMIFS('Shipments by country'!F:F, 
        'Shipments by country'!B:B, A3, 
        'Shipments by country'!C:C, "R21", 
        'Shipments by country'!G:G, "Delivered")
</f>
        <v>0</v>
      </c>
      <c r="D3" s="20">
        <f t="shared" si="1"/>
        <v>976600</v>
      </c>
      <c r="E3" s="4">
        <f>SUMIFS('Shipments by country'!F:F, 
        'Shipments by country'!B:B, A3, 
        'Shipments by country'!C:C, "RTS,S")
</f>
        <v>1211800</v>
      </c>
      <c r="F3" s="4">
        <f>SUMIFS('Shipments by country'!F:F, 
        'Shipments by country'!B:B, A3, 
        'Shipments by country'!C:C, "R21")
</f>
        <v>0</v>
      </c>
      <c r="G3" s="4">
        <f t="shared" si="2"/>
        <v>1211800</v>
      </c>
      <c r="H3" s="21" t="s">
        <v>74</v>
      </c>
      <c r="I3" s="6">
        <v>1.7E7</v>
      </c>
      <c r="J3" s="22">
        <v>1.4111034E7</v>
      </c>
      <c r="K3" s="23">
        <v>2176442.0</v>
      </c>
      <c r="L3" s="23">
        <f t="shared" si="3"/>
        <v>1958797.8</v>
      </c>
      <c r="M3" s="24">
        <f t="shared" si="4"/>
        <v>302950</v>
      </c>
      <c r="N3" s="25">
        <f t="shared" si="5"/>
        <v>0.1546611907</v>
      </c>
      <c r="O3" s="23">
        <f t="shared" si="6"/>
        <v>1655847.8</v>
      </c>
      <c r="P3" s="25">
        <f t="shared" si="7"/>
        <v>0.8453388093</v>
      </c>
      <c r="Q3" s="6">
        <v>5127891.0</v>
      </c>
      <c r="R3" s="6">
        <v>9928.0</v>
      </c>
      <c r="S3" s="24">
        <f t="shared" si="8"/>
        <v>363395.8362</v>
      </c>
      <c r="T3" s="24">
        <f t="shared" si="9"/>
        <v>703.5628998</v>
      </c>
      <c r="U3" s="5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$A3) ) ), 0 )"),59970.08980109943)</f>
        <v>59970.0898</v>
      </c>
      <c r="V3" s="5">
        <f>SUMIF('Shipments by country'!$B:$B,$A3,'Shipments by country'!$K:$K)</f>
        <v>1677.294952</v>
      </c>
      <c r="W3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$A3) ) ), 0 )"),118.9623833741803)</f>
        <v>118.9623834</v>
      </c>
      <c r="X3" s="5">
        <f>SUMIF('Shipments by country'!$B:$B,$A3,'Shipments by country'!$L:$L)</f>
        <v>61394.23867</v>
      </c>
      <c r="Y3" s="6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$A3) ) ), 0 )"),59321.79125645971)</f>
        <v>59321.79126</v>
      </c>
      <c r="Z3" s="5">
        <f>SUMIF('Shipments by country'!$B:$B,$A3,'Shipments by country'!$M:$M)</f>
        <v>1258.553823</v>
      </c>
      <c r="AA3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$A3) ) ), 0 )"),117.67635661877368)</f>
        <v>117.6763566</v>
      </c>
      <c r="AB3" s="5">
        <f>SUMIF('Shipments by country'!$B:$B,$A3,'Shipments by country'!$N:$N)</f>
        <v>46067.00432</v>
      </c>
      <c r="AC3" s="5">
        <f>IFERROR(__xludf.DUMMYFUNCTION("IFERROR( SUM( FILTER( 'Shipments by country'!$H$2:$H1023 * ( INDEX(Countries!$S$2:$S1023, MATCH('Shipments by country'!$B$2:$B1023, Countries!$A$2:$A1023, 0) ) / 1000000 ) * 'Shipments by country'!$J$2:$J1023, ('Shipments by country'!$E$2:$E1023 &lt; NOW()) "&amp;"* ('Shipments by country'!$I$2:$I1023 &gt; 0) * ('Shipments by country'!$B$2:$B1023 = $A3) ) ), 0 )"),58204.04753329213)</f>
        <v>58204.04753</v>
      </c>
      <c r="AD3" s="5">
        <f>SUMIF('Shipments by country'!$B:$B,$A3,'Shipments by country'!$O:$O)</f>
        <v>1635.961098</v>
      </c>
      <c r="AE3" s="5">
        <f>IFERROR(__xludf.DUMMYFUNCTION("IFERROR( SUM( FILTER( 'Shipments by country'!$H$2:$H1023 * ( INDEX(Countries!$T$2:$T1023, MATCH('Shipments by country'!$B$2:$B1023, Countries!$A$2:$A1023, 0) ) / 1000000 ) * 'Shipments by country'!$J$2:$J1023, ('Shipments by country'!$E$2:$E1023 &lt; NOW()) "&amp;"* ('Shipments by country'!$I$2:$I1023 &gt; 0) * ('Shipments by country'!$B$2:$B1023 = $A3) ) ), 0 )"),115.45909368402467)</f>
        <v>115.4590937</v>
      </c>
      <c r="AF3" s="5">
        <f>SUMIF('Shipments by country'!$B:$B,$A3,'Shipments by country'!$P:$P)</f>
        <v>59881.2904</v>
      </c>
      <c r="AG3" s="5">
        <f>IFERROR(__xludf.DUMMYFUNCTION("IFERROR(
  SUM(
    FILTER(
      'Shipments by country'!$H$2:$H1023                                *
      INDEX(Countries!$S$2:$S1023,
            MATCH('Shipments by country'!$B$2:$B1023, Countries!$A$2:$A1023, 0)
           ) / 1000000                "&amp;"                                 *
      'Shipments by country'!$J$2:$J1023,
      ( 'Shipments by country'!$E$2:$E1023 &lt;  NOW()           )        *
      ( 'Shipments by country'!$I$2:$I1023 &gt; 0.25             )        *
      ( 'Shipments by country'!$"&amp;"B$2:$B1023 =  $A3             )
    )
  ),
  0
)
"),57555.74898865242)</f>
        <v>57555.74899</v>
      </c>
      <c r="AH3" s="5">
        <f>SUMIF('Shipments by country'!$B:$B,$A3,'Shipments by country'!$Q:$Q)</f>
        <v>14735.41599</v>
      </c>
      <c r="AI3" s="26">
        <f>IFERROR(__xludf.DUMMYFUNCTION("IFERROR(
  SUM(
    FILTER(
      'Shipments by country'!$H$2:$H1023
        * ( INDEX(Countries!$T$2:$T1023,
                 MATCH('Shipments by country'!$B$2:$B1023, Countries!$A$2:$A1023, 0)
               ) / 1000000 )
        * 'Shipments by country"&amp;"'!$J$2:$J1023,
      ('Shipments by country'!$E$2:$E1023 &lt; NOW()) *
      ('Shipments by country'!$I$2:$I1023 &gt; 0.25) *
      ('Shipments by country'!$B$2:$B1023 = $A3)
    )
  ),
  0
)
"),114.17306692861804)</f>
        <v>114.1730669</v>
      </c>
      <c r="AJ3" s="5">
        <f>SUMIF('Shipments by country'!$B:$B,$A3,'Shipments by country'!$R:$R)</f>
        <v>28.52892349</v>
      </c>
      <c r="AK3" s="26">
        <f t="shared" si="10"/>
        <v>6623391.2</v>
      </c>
      <c r="AL3" s="27">
        <f>AK3*'Vaccine pricing'!B3</f>
        <v>19803939.69</v>
      </c>
      <c r="AM3" s="28">
        <f>IF($A3="","",
 LET(
  ctry,$A3,
  ctryCol,'Shipments by country'!$B$2:$B1023,
  vaccCol,'Shipments by country'!$C$2:$C1023,
  finCol,'Shipments by country'!$D$2:$D1023,
  doseCol,'Shipments by country'!$F$2:$F1023,
  price,IFERROR(VLOOKUP(vaccCol,'Vaccine pricing'!$A$2:$B1023,2,FALSE),0),
  totCost,SUMPRODUCT((ctryCol=ctry)*doseCol*price),
  gaviCost,SUMPRODUCT((ctryCol=ctry)*(finCol="Gavi")*doseCol*price),
  IF(totCost=0,"",gaviCost/totCost)
 ))
</f>
        <v>0.9706222149</v>
      </c>
      <c r="AN3" s="24">
        <v>4.0</v>
      </c>
      <c r="AO3" s="27">
        <v>2014670.01826</v>
      </c>
      <c r="AP3" s="24">
        <v>1403.0</v>
      </c>
      <c r="AQ3" s="29">
        <f>'Vaccine pricing'!$B$3*4/((S3/1000000)*'Vaccine efficacy curves'!$C$3)</f>
        <v>43.88235934</v>
      </c>
      <c r="AR3" s="29">
        <f>'Vaccine pricing'!$B$3*4/((T3/1000000)*'Vaccine efficacy curves'!$C$3)</f>
        <v>22665.58778</v>
      </c>
      <c r="AS3" s="24">
        <f t="shared" si="11"/>
        <v>435288.4</v>
      </c>
      <c r="AT3" s="24">
        <f t="shared" si="12"/>
        <v>1741153.6</v>
      </c>
      <c r="AU3" s="30">
        <f>AT3*'Vaccine pricing'!B3</f>
        <v>5206049.264</v>
      </c>
      <c r="AV3" s="24">
        <f t="shared" si="13"/>
        <v>1124495.033</v>
      </c>
      <c r="AW3" s="25">
        <f t="shared" si="14"/>
        <v>0.269409816</v>
      </c>
      <c r="AX3" s="24">
        <f t="shared" si="15"/>
        <v>821545.0333</v>
      </c>
      <c r="AY3" s="25">
        <f t="shared" si="16"/>
        <v>0.730590184</v>
      </c>
      <c r="AZ3" s="24">
        <f t="shared" si="17"/>
        <v>3286180.133</v>
      </c>
      <c r="BA3" s="30">
        <f>AZ3*'Vaccine pricing'!B3</f>
        <v>9825678.599</v>
      </c>
      <c r="BB3" s="30">
        <v>999573.8420566667</v>
      </c>
    </row>
    <row r="4" ht="22.5" customHeight="1">
      <c r="A4" s="3" t="s">
        <v>75</v>
      </c>
      <c r="B4" s="20">
        <f>SUMIFS('Shipments by country'!F:F, 
        'Shipments by country'!B:B, A4, 
        'Shipments by country'!C:C, "RTS,S", 
        'Shipments by country'!G:G, "Delivered")
</f>
        <v>0</v>
      </c>
      <c r="C4" s="4">
        <f>SUMIFS('Shipments by country'!F:F, 
        'Shipments by country'!B:B, A4, 
        'Shipments by country'!C:C, "R21", 
        'Shipments by country'!G:G, "Delivered")
</f>
        <v>0</v>
      </c>
      <c r="D4" s="20">
        <f t="shared" si="1"/>
        <v>0</v>
      </c>
      <c r="E4" s="4">
        <f>SUMIFS('Shipments by country'!F:F, 
        'Shipments by country'!B:B, A4, 
        'Shipments by country'!C:C, "RTS,S")
</f>
        <v>0</v>
      </c>
      <c r="F4" s="4">
        <f>SUMIFS('Shipments by country'!F:F, 
        'Shipments by country'!B:B, A4, 
        'Shipments by country'!C:C, "R21")
</f>
        <v>0</v>
      </c>
      <c r="G4" s="4">
        <f t="shared" si="2"/>
        <v>0</v>
      </c>
      <c r="H4" s="21" t="s">
        <v>76</v>
      </c>
      <c r="I4" s="6">
        <v>0.0</v>
      </c>
      <c r="J4" s="22">
        <v>1644352.0</v>
      </c>
      <c r="K4" s="23">
        <v>293659.0</v>
      </c>
      <c r="L4" s="23">
        <f t="shared" si="3"/>
        <v>264293.1</v>
      </c>
      <c r="M4" s="24">
        <f t="shared" si="4"/>
        <v>0</v>
      </c>
      <c r="N4" s="25">
        <f t="shared" si="5"/>
        <v>0</v>
      </c>
      <c r="O4" s="23">
        <f t="shared" si="6"/>
        <v>264293.1</v>
      </c>
      <c r="P4" s="25">
        <f t="shared" si="7"/>
        <v>1</v>
      </c>
      <c r="Q4" s="6">
        <v>778.0</v>
      </c>
      <c r="R4" s="6">
        <v>4.0</v>
      </c>
      <c r="S4" s="24">
        <f t="shared" si="8"/>
        <v>473.134706</v>
      </c>
      <c r="T4" s="24">
        <f t="shared" si="9"/>
        <v>2.432569182</v>
      </c>
      <c r="U4" s="5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$A4) ) ), 0 )"),0.0)</f>
        <v>0</v>
      </c>
      <c r="V4" s="5">
        <f>SUMIF('Shipments by country'!$B:$B,$A4,'Shipments by country'!$K:$K)</f>
        <v>0</v>
      </c>
      <c r="W4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$A4) ) ), 0 )"),0.0)</f>
        <v>0</v>
      </c>
      <c r="X4" s="5">
        <f>SUMIF('Shipments by country'!$B:$B,$A4,'Shipments by country'!$L:$L)</f>
        <v>0</v>
      </c>
      <c r="Y4" s="6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$A4) ) ), 0 )"),0.0)</f>
        <v>0</v>
      </c>
      <c r="Z4" s="5">
        <f>SUMIF('Shipments by country'!$B:$B,$A4,'Shipments by country'!$M:$M)</f>
        <v>0</v>
      </c>
      <c r="AA4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$A4) ) ), 0 )"),0.0)</f>
        <v>0</v>
      </c>
      <c r="AB4" s="5">
        <f>SUMIF('Shipments by country'!$B:$B,$A4,'Shipments by country'!$N:$N)</f>
        <v>0</v>
      </c>
      <c r="AC4" s="5">
        <f>IFERROR(__xludf.DUMMYFUNCTION("IFERROR( SUM( FILTER( 'Shipments by country'!$H$2:$H1023 * ( INDEX(Countries!$S$2:$S1023, MATCH('Shipments by country'!$B$2:$B1023, Countries!$A$2:$A1023, 0) ) / 1000000 ) * 'Shipments by country'!$J$2:$J1023, ('Shipments by country'!$E$2:$E1023 &lt; NOW()) "&amp;"* ('Shipments by country'!$I$2:$I1023 &gt; 0) * ('Shipments by country'!$B$2:$B1023 = $A4) ) ), 0 )"),0.0)</f>
        <v>0</v>
      </c>
      <c r="AD4" s="5">
        <f>SUMIF('Shipments by country'!$B:$B,$A4,'Shipments by country'!$O:$O)</f>
        <v>0</v>
      </c>
      <c r="AE4" s="5">
        <f>IFERROR(__xludf.DUMMYFUNCTION("IFERROR( SUM( FILTER( 'Shipments by country'!$H$2:$H1023 * ( INDEX(Countries!$T$2:$T1023, MATCH('Shipments by country'!$B$2:$B1023, Countries!$A$2:$A1023, 0) ) / 1000000 ) * 'Shipments by country'!$J$2:$J1023, ('Shipments by country'!$E$2:$E1023 &lt; NOW()) "&amp;"* ('Shipments by country'!$I$2:$I1023 &gt; 0) * ('Shipments by country'!$B$2:$B1023 = $A4) ) ), 0 )"),0.0)</f>
        <v>0</v>
      </c>
      <c r="AF4" s="5">
        <f>SUMIF('Shipments by country'!$B:$B,$A4,'Shipments by country'!$P:$P)</f>
        <v>0</v>
      </c>
      <c r="AG4" s="5">
        <f>IFERROR(__xludf.DUMMYFUNCTION("IFERROR(
  SUM(
    FILTER(
      'Shipments by country'!$H$2:$H1023                                *
      INDEX(Countries!$S$2:$S1023,
            MATCH('Shipments by country'!$B$2:$B1023, Countries!$A$2:$A1023, 0)
           ) / 1000000                "&amp;"                                 *
      'Shipments by country'!$J$2:$J1023,
      ( 'Shipments by country'!$E$2:$E1023 &lt;  NOW()           )        *
      ( 'Shipments by country'!$I$2:$I1023 &gt; 0.25             )        *
      ( 'Shipments by country'!$"&amp;"B$2:$B1023 =  $A4             )
    )
  ),
  0
)
"),0.0)</f>
        <v>0</v>
      </c>
      <c r="AH4" s="5">
        <f>SUMIF('Shipments by country'!$B:$B,$A4,'Shipments by country'!$Q:$Q)</f>
        <v>0</v>
      </c>
      <c r="AI4" s="26">
        <f>IFERROR(__xludf.DUMMYFUNCTION("IFERROR(
  SUM(
    FILTER(
      'Shipments by country'!$H$2:$H1023
        * ( INDEX(Countries!$T$2:$T1023,
                 MATCH('Shipments by country'!$B$2:$B1023, Countries!$A$2:$A1023, 0)
               ) / 1000000 )
        * 'Shipments by country"&amp;"'!$J$2:$J1023,
      ('Shipments by country'!$E$2:$E1023 &lt; NOW()) *
      ('Shipments by country'!$I$2:$I1023 &gt; 0.25) *
      ('Shipments by country'!$B$2:$B1023 = $A4)
    )
  ),
  0
)
"),0.0)</f>
        <v>0</v>
      </c>
      <c r="AJ4" s="5">
        <f>SUMIF('Shipments by country'!$B:$B,$A4,'Shipments by country'!$R:$R)</f>
        <v>0</v>
      </c>
      <c r="AK4" s="26">
        <f t="shared" si="10"/>
        <v>1057172.4</v>
      </c>
      <c r="AL4" s="27">
        <f>AK4*'Vaccine pricing'!B3</f>
        <v>3160945.476</v>
      </c>
      <c r="AM4" s="28" t="str">
        <f>IF($A4="","",
 LET(
  ctry,$A4,
  ctryCol,'Shipments by country'!$B$2:$B1023,
  vaccCol,'Shipments by country'!$C$2:$C1023,
  finCol,'Shipments by country'!$D$2:$D1023,
  doseCol,'Shipments by country'!$F$2:$F1023,
  price,IFERROR(VLOOKUP(vaccCol,'Vaccine pricing'!$A$2:$B1023,2,FALSE),0),
  totCost,SUMPRODUCT((ctryCol=ctry)*doseCol*price),
  gaviCost,SUMPRODUCT((ctryCol=ctry)*(finCol="Gavi")*doseCol*price),
  IF(totCost=0,"",gaviCost/totCost)
 ))
</f>
        <v/>
      </c>
      <c r="AN4" s="24" t="s">
        <v>77</v>
      </c>
      <c r="AO4" s="30" t="s">
        <v>78</v>
      </c>
      <c r="AP4" s="24" t="s">
        <v>77</v>
      </c>
      <c r="AQ4" s="29">
        <f>'Vaccine pricing'!$B$3*4/((S4/1000000)*'Vaccine efficacy curves'!$C$3)</f>
        <v>33704.28435</v>
      </c>
      <c r="AR4" s="29">
        <f>'Vaccine pricing'!$B$3*4/((T4/1000000)*'Vaccine efficacy curves'!$C$3)</f>
        <v>6555483.307</v>
      </c>
      <c r="AS4" s="24">
        <f t="shared" si="11"/>
        <v>58731.8</v>
      </c>
      <c r="AT4" s="24">
        <f t="shared" si="12"/>
        <v>234927.2</v>
      </c>
      <c r="AU4" s="30">
        <f>AT4*'Vaccine pricing'!B3</f>
        <v>702432.328</v>
      </c>
      <c r="AV4" s="24">
        <f t="shared" si="13"/>
        <v>151723.8167</v>
      </c>
      <c r="AW4" s="25">
        <f t="shared" si="14"/>
        <v>0</v>
      </c>
      <c r="AX4" s="24">
        <f t="shared" si="15"/>
        <v>151723.8167</v>
      </c>
      <c r="AY4" s="25">
        <f t="shared" si="16"/>
        <v>1</v>
      </c>
      <c r="AZ4" s="24">
        <f t="shared" si="17"/>
        <v>606895.2667</v>
      </c>
      <c r="BA4" s="30">
        <f>AZ4*'Vaccine pricing'!B3</f>
        <v>1814616.847</v>
      </c>
      <c r="BB4" s="30" t="s">
        <v>78</v>
      </c>
    </row>
    <row r="5" ht="22.5" customHeight="1">
      <c r="A5" s="3" t="s">
        <v>79</v>
      </c>
      <c r="B5" s="20">
        <f>SUMIFS('Shipments by country'!F:F, 
        'Shipments by country'!B:B, A5, 
        'Shipments by country'!C:C, "RTS,S", 
        'Shipments by country'!G:G, "Delivered")
</f>
        <v>1374600</v>
      </c>
      <c r="C5" s="4">
        <f>SUMIFS('Shipments by country'!F:F, 
        'Shipments by country'!B:B, A5, 
        'Shipments by country'!C:C, "R21", 
        'Shipments by country'!G:G, "Delivered")
</f>
        <v>800000</v>
      </c>
      <c r="D5" s="20">
        <f t="shared" si="1"/>
        <v>2174600</v>
      </c>
      <c r="E5" s="4">
        <f>SUMIFS('Shipments by country'!F:F, 
        'Shipments by country'!B:B, A5, 
        'Shipments by country'!C:C, "RTS,S")
</f>
        <v>1374600</v>
      </c>
      <c r="F5" s="4">
        <f>SUMIFS('Shipments by country'!F:F, 
        'Shipments by country'!B:B, A5, 
        'Shipments by country'!C:C, "R21")
</f>
        <v>2209800</v>
      </c>
      <c r="G5" s="4">
        <f t="shared" si="2"/>
        <v>3584400</v>
      </c>
      <c r="H5" s="21" t="s">
        <v>80</v>
      </c>
      <c r="I5" s="6">
        <v>2.6E7</v>
      </c>
      <c r="J5" s="21">
        <v>2.3025776E7</v>
      </c>
      <c r="K5" s="23">
        <v>3351139.0</v>
      </c>
      <c r="L5" s="23">
        <f t="shared" si="3"/>
        <v>3016025.1</v>
      </c>
      <c r="M5" s="24">
        <f t="shared" si="4"/>
        <v>896100</v>
      </c>
      <c r="N5" s="25">
        <f t="shared" si="5"/>
        <v>0.297112912</v>
      </c>
      <c r="O5" s="23">
        <f t="shared" si="6"/>
        <v>2119925.1</v>
      </c>
      <c r="P5" s="25">
        <f t="shared" si="7"/>
        <v>0.702887088</v>
      </c>
      <c r="Q5" s="24">
        <v>8139355.0</v>
      </c>
      <c r="R5" s="6">
        <v>16146.0</v>
      </c>
      <c r="S5" s="24">
        <f t="shared" si="8"/>
        <v>353488.8466</v>
      </c>
      <c r="T5" s="24">
        <f t="shared" si="9"/>
        <v>701.2141523</v>
      </c>
      <c r="U5" s="5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$A5) ) ), 0 )"),152558.00943212508)</f>
        <v>152558.0094</v>
      </c>
      <c r="V5" s="5">
        <f>SUMIF('Shipments by country'!$B:$B,$A5,'Shipments by country'!$K:$K)</f>
        <v>5310.24559</v>
      </c>
      <c r="W5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$A5) ) ), 0 )"),302.6286014421404)</f>
        <v>302.6286014</v>
      </c>
      <c r="X5" s="5">
        <f>SUMIF('Shipments by country'!$B:$B,$A5,'Shipments by country'!$L:$L)</f>
        <v>116258.6764</v>
      </c>
      <c r="Y5" s="6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$A5) ) ), 0 )"),107617.55841019211)</f>
        <v>107617.5584</v>
      </c>
      <c r="Z5" s="5">
        <f>SUMIF('Shipments by country'!$B:$B,$A5,'Shipments by country'!$M:$M)</f>
        <v>3621.030632</v>
      </c>
      <c r="AA5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$A5) ) ), 0 )"),213.4804413975017)</f>
        <v>213.4804414</v>
      </c>
      <c r="AB5" s="5">
        <f>SUMIF('Shipments by country'!$B:$B,$A5,'Shipments by country'!$N:$N)</f>
        <v>79276.22578</v>
      </c>
      <c r="AC5" s="5">
        <f>IFERROR(__xludf.DUMMYFUNCTION("IFERROR( SUM( FILTER( 'Shipments by country'!$H$2:$H1023 * ( INDEX(Countries!$S$2:$S1023, MATCH('Shipments by country'!$B$2:$B1023, Countries!$A$2:$A1023, 0) ) / 1000000 ) * 'Shipments by country'!$J$2:$J1023, ('Shipments by country'!$E$2:$E1023 &lt; NOW()) "&amp;"* ('Shipments by country'!$I$2:$I1023 &gt; 0) * ('Shipments by country'!$B$2:$B1023 = $A5) ) ), 0 )"),176361.47787601806)</f>
        <v>176361.4779</v>
      </c>
      <c r="AD5" s="5">
        <f>SUMIF('Shipments by country'!$B:$B,$A5,'Shipments by country'!$O:$O)</f>
        <v>5124.619321</v>
      </c>
      <c r="AE5" s="5">
        <f>IFERROR(__xludf.DUMMYFUNCTION("IFERROR( SUM( FILTER( 'Shipments by country'!$H$2:$H1023 * ( INDEX(Countries!$T$2:$T1023, MATCH('Shipments by country'!$B$2:$B1023, Countries!$A$2:$A1023, 0) ) / 1000000 ) * 'Shipments by country'!$J$2:$J1023, ('Shipments by country'!$E$2:$E1023 &lt; NOW()) "&amp;"* ('Shipments by country'!$I$2:$I1023 &gt; 0) * ('Shipments by country'!$B$2:$B1023 = $A5) ) ), 0 )"),349.8474291619162)</f>
        <v>349.8474292</v>
      </c>
      <c r="AF5" s="5">
        <f>SUMIF('Shipments by country'!$B:$B,$A5,'Shipments by country'!$P:$P)</f>
        <v>112194.7091</v>
      </c>
      <c r="AG5" s="5">
        <f>IFERROR(__xludf.DUMMYFUNCTION("IFERROR(
  SUM(
    FILTER(
      'Shipments by country'!$H$2:$H1023                                *
      INDEX(Countries!$S$2:$S1023,
            MATCH('Shipments by country'!$B$2:$B1023, Countries!$A$2:$A1023, 0)
           ) / 1000000                "&amp;"                                 *
      'Shipments by country'!$J$2:$J1023,
      ( 'Shipments by country'!$E$2:$E1023 &lt;  NOW()           )        *
      ( 'Shipments by country'!$I$2:$I1023 &gt; 0.25             )        *
      ( 'Shipments by country'!$"&amp;"B$2:$B1023 =  $A5             )
    )
  ),
  0
)
"),116173.37382878644)</f>
        <v>116173.3738</v>
      </c>
      <c r="AH5" s="5">
        <f>SUMIF('Shipments by country'!$B:$B,$A5,'Shipments by country'!$Q:$Q)</f>
        <v>35818.45601</v>
      </c>
      <c r="AI5" s="26">
        <f>IFERROR(__xludf.DUMMYFUNCTION("IFERROR(
  SUM(
    FILTER(
      'Shipments by country'!$H$2:$H1023
        * ( INDEX(Countries!$T$2:$T1023,
                 MATCH('Shipments by country'!$B$2:$B1023, Countries!$A$2:$A1023, 0)
               ) / 1000000 )
        * 'Shipments by country"&amp;"'!$J$2:$J1023,
      ('Shipments by country'!$E$2:$E1023 &lt; NOW()) *
      ('Shipments by country'!$I$2:$I1023 &gt; 0.25) *
      ('Shipments by country'!$B$2:$B1023 = $A5)
    )
  ),
  0
)
"),230.4525719592751)</f>
        <v>230.452572</v>
      </c>
      <c r="AJ5" s="5">
        <f>SUMIF('Shipments by country'!$B:$B,$A5,'Shipments by country'!$R:$R)</f>
        <v>71.0529017</v>
      </c>
      <c r="AK5" s="26">
        <f t="shared" si="10"/>
        <v>8479700.4</v>
      </c>
      <c r="AL5" s="27">
        <f>AK5*'Vaccine pricing'!B3</f>
        <v>25354304.2</v>
      </c>
      <c r="AM5" s="28">
        <f>IF($A5="","",
 LET(
  ctry,$A5,
  ctryCol,'Shipments by country'!$B$2:$B1023,
  vaccCol,'Shipments by country'!$C$2:$C1023,
  finCol,'Shipments by country'!$D$2:$D1023,
  doseCol,'Shipments by country'!$F$2:$F1023,
  price,IFERROR(VLOOKUP(vaccCol,'Vaccine pricing'!$A$2:$B1023,2,FALSE),0),
  totCost,SUMPRODUCT((ctryCol=ctry)*doseCol*price),
  gaviCost,SUMPRODUCT((ctryCol=ctry)*(finCol="Gavi")*doseCol*price),
  IF(totCost=0,"",gaviCost/totCost)
 ))
</f>
        <v>0.9621415021</v>
      </c>
      <c r="AN5" s="24">
        <v>11.0</v>
      </c>
      <c r="AO5" s="27">
        <v>1695940.08</v>
      </c>
      <c r="AP5" s="24">
        <v>850.0</v>
      </c>
      <c r="AQ5" s="29">
        <f>'Vaccine pricing'!$B$3*4/((S5/1000000)*'Vaccine efficacy curves'!$C$3)</f>
        <v>45.11222015</v>
      </c>
      <c r="AR5" s="29">
        <f>'Vaccine pricing'!$B$3*4/((T5/1000000)*'Vaccine efficacy curves'!$C$3)</f>
        <v>22741.50716</v>
      </c>
      <c r="AS5" s="24">
        <f t="shared" si="11"/>
        <v>670227.8</v>
      </c>
      <c r="AT5" s="24">
        <f t="shared" si="12"/>
        <v>2680911.2</v>
      </c>
      <c r="AU5" s="30">
        <f>AT5*'Vaccine pricing'!B3</f>
        <v>8015924.488</v>
      </c>
      <c r="AV5" s="24">
        <f t="shared" si="13"/>
        <v>1731421.817</v>
      </c>
      <c r="AW5" s="25">
        <f t="shared" si="14"/>
        <v>0.5175515241</v>
      </c>
      <c r="AX5" s="24">
        <f t="shared" si="15"/>
        <v>835321.8167</v>
      </c>
      <c r="AY5" s="25">
        <f t="shared" si="16"/>
        <v>0.4824484759</v>
      </c>
      <c r="AZ5" s="24">
        <f t="shared" si="17"/>
        <v>3341287.267</v>
      </c>
      <c r="BA5" s="30">
        <f>AZ5*'Vaccine pricing'!B3</f>
        <v>9990448.927</v>
      </c>
      <c r="BB5" s="30">
        <v>668257.4533333334</v>
      </c>
    </row>
    <row r="6" ht="22.5" customHeight="1">
      <c r="A6" s="3" t="s">
        <v>81</v>
      </c>
      <c r="B6" s="20">
        <f>SUMIFS('Shipments by country'!F:F, 
        'Shipments by country'!B:B, A6, 
        'Shipments by country'!C:C, "RTS,S", 
        'Shipments by country'!G:G, "Delivered")
</f>
        <v>1426250</v>
      </c>
      <c r="C6" s="4">
        <f>SUMIFS('Shipments by country'!F:F, 
        'Shipments by country'!B:B, A6, 
        'Shipments by country'!C:C, "R21", 
        'Shipments by country'!G:G, "Delivered")
</f>
        <v>0</v>
      </c>
      <c r="D6" s="20">
        <f t="shared" si="1"/>
        <v>1426250</v>
      </c>
      <c r="E6" s="4">
        <f>SUMIFS('Shipments by country'!F:F, 
        'Shipments by country'!B:B, A6, 
        'Shipments by country'!C:C, "RTS,S")
</f>
        <v>1445550</v>
      </c>
      <c r="F6" s="4">
        <f>SUMIFS('Shipments by country'!F:F, 
        'Shipments by country'!B:B, A6, 
        'Shipments by country'!C:C, "R21")
</f>
        <v>0</v>
      </c>
      <c r="G6" s="4">
        <f t="shared" si="2"/>
        <v>1445550</v>
      </c>
      <c r="H6" s="21" t="s">
        <v>80</v>
      </c>
      <c r="I6" s="6">
        <v>1.5E7</v>
      </c>
      <c r="J6" s="21">
        <v>1.3689449E7</v>
      </c>
      <c r="K6" s="23">
        <v>2167233.0</v>
      </c>
      <c r="L6" s="23">
        <f t="shared" si="3"/>
        <v>1950509.7</v>
      </c>
      <c r="M6" s="24">
        <f t="shared" si="4"/>
        <v>361387.5</v>
      </c>
      <c r="N6" s="25">
        <f t="shared" si="5"/>
        <v>0.1852784941</v>
      </c>
      <c r="O6" s="23">
        <f t="shared" si="6"/>
        <v>1589122.2</v>
      </c>
      <c r="P6" s="25">
        <f t="shared" si="7"/>
        <v>0.8147215059</v>
      </c>
      <c r="Q6" s="6">
        <v>3354726.0</v>
      </c>
      <c r="R6" s="6">
        <v>6302.0</v>
      </c>
      <c r="S6" s="24">
        <f t="shared" si="8"/>
        <v>245059.2423</v>
      </c>
      <c r="T6" s="24">
        <f t="shared" si="9"/>
        <v>460.3545402</v>
      </c>
      <c r="U6" s="5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$A6) ) ), 0 )"),71538.0123056439)</f>
        <v>71538.01231</v>
      </c>
      <c r="V6" s="5">
        <f>SUMIF('Shipments by country'!$B:$B,$A6,'Shipments by country'!$K:$K)</f>
        <v>620.4037997</v>
      </c>
      <c r="W6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$A6) ) ), 0 )"),141.90961650977584)</f>
        <v>141.9096165</v>
      </c>
      <c r="X6" s="5">
        <f>SUMIF('Shipments by country'!$B:$B,$A6,'Shipments by country'!$L:$L)</f>
        <v>24124.9897</v>
      </c>
      <c r="Y6" s="6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$A6) ) ), 0 )"),48748.58636620977)</f>
        <v>48748.58637</v>
      </c>
      <c r="Z6" s="5">
        <f>SUMIF('Shipments by country'!$B:$B,$A6,'Shipments by country'!$M:$M)</f>
        <v>331.2841878</v>
      </c>
      <c r="AA6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$A6) ) ), 0 )"),96.70234010788607)</f>
        <v>96.70234011</v>
      </c>
      <c r="AB6" s="5">
        <f>SUMIF('Shipments by country'!$B:$B,$A6,'Shipments by country'!$N:$N)</f>
        <v>12882.2996</v>
      </c>
      <c r="AC6" s="5">
        <f>IFERROR(__xludf.DUMMYFUNCTION("IFERROR( SUM( FILTER( 'Shipments by country'!$H$2:$H1023 * ( INDEX(Countries!$S$2:$S1023, MATCH('Shipments by country'!$B$2:$B1023, Countries!$A$2:$A1023, 0) ) / 1000000 ) * 'Shipments by country'!$J$2:$J1023, ('Shipments by country'!$E$2:$E1023 &lt; NOW()) "&amp;"* ('Shipments by country'!$I$2:$I1023 &gt; 0) * ('Shipments by country'!$B$2:$B1023 = $A6) ) ), 0 )"),71538.0123056439)</f>
        <v>71538.01231</v>
      </c>
      <c r="AD6" s="5">
        <f>SUMIF('Shipments by country'!$B:$B,$A6,'Shipments by country'!$O:$O)</f>
        <v>620.4037997</v>
      </c>
      <c r="AE6" s="5">
        <f>IFERROR(__xludf.DUMMYFUNCTION("IFERROR( SUM( FILTER( 'Shipments by country'!$H$2:$H1023 * ( INDEX(Countries!$T$2:$T1023, MATCH('Shipments by country'!$B$2:$B1023, Countries!$A$2:$A1023, 0) ) / 1000000 ) * 'Shipments by country'!$J$2:$J1023, ('Shipments by country'!$E$2:$E1023 &lt; NOW()) "&amp;"* ('Shipments by country'!$I$2:$I1023 &gt; 0) * ('Shipments by country'!$B$2:$B1023 = $A6) ) ), 0 )"),141.90961650977584)</f>
        <v>141.9096165</v>
      </c>
      <c r="AF6" s="5">
        <f>SUMIF('Shipments by country'!$B:$B,$A6,'Shipments by country'!$P:$P)</f>
        <v>24124.9897</v>
      </c>
      <c r="AG6" s="5">
        <f>IFERROR(__xludf.DUMMYFUNCTION("IFERROR(
  SUM(
    FILTER(
      'Shipments by country'!$H$2:$H1023                                *
      INDEX(Countries!$S$2:$S1023,
            MATCH('Shipments by country'!$B$2:$B1023, Countries!$A$2:$A1023, 0)
           ) / 1000000                "&amp;"                                 *
      'Shipments by country'!$J$2:$J1023,
      ( 'Shipments by country'!$E$2:$E1023 &lt;  NOW()           )        *
      ( 'Shipments by country'!$I$2:$I1023 &gt; 0.25             )        *
      ( 'Shipments by country'!$"&amp;"B$2:$B1023 =  $A6             )
    )
  ),
  0
)
"),48748.58636620977)</f>
        <v>48748.58637</v>
      </c>
      <c r="AH6" s="5">
        <f>SUMIF('Shipments by country'!$B:$B,$A6,'Shipments by country'!$Q:$Q)</f>
        <v>11242.6901</v>
      </c>
      <c r="AI6" s="26">
        <f>IFERROR(__xludf.DUMMYFUNCTION("IFERROR(
  SUM(
    FILTER(
      'Shipments by country'!$H$2:$H1023
        * ( INDEX(Countries!$T$2:$T1023,
                 MATCH('Shipments by country'!$B$2:$B1023, Countries!$A$2:$A1023, 0)
               ) / 1000000 )
        * 'Shipments by country"&amp;"'!$J$2:$J1023,
      ('Shipments by country'!$E$2:$E1023 &lt; NOW()) *
      ('Shipments by country'!$I$2:$I1023 &gt; 0.25) *
      ('Shipments by country'!$B$2:$B1023 = $A6)
    )
  ),
  0
)
"),96.70234010788607)</f>
        <v>96.70234011</v>
      </c>
      <c r="AJ6" s="5">
        <f>SUMIF('Shipments by country'!$B:$B,$A6,'Shipments by country'!$R:$R)</f>
        <v>21.1198867</v>
      </c>
      <c r="AK6" s="26">
        <f t="shared" si="10"/>
        <v>6356488.8</v>
      </c>
      <c r="AL6" s="27">
        <f>AK6*'Vaccine pricing'!B3</f>
        <v>19005901.51</v>
      </c>
      <c r="AM6" s="28">
        <f>IF($A6="","",
 LET(
  ctry,$A6,
  ctryCol,'Shipments by country'!$B$2:$B1023,
  vaccCol,'Shipments by country'!$C$2:$C1023,
  finCol,'Shipments by country'!$D$2:$D1023,
  doseCol,'Shipments by country'!$F$2:$F1023,
  price,IFERROR(VLOOKUP(vaccCol,'Vaccine pricing'!$A$2:$B1023,2,FALSE),0),
  totCost,SUMPRODUCT((ctryCol=ctry)*doseCol*price),
  gaviCost,SUMPRODUCT((ctryCol=ctry)*(finCol="Gavi")*doseCol*price),
  IF(totCost=0,"",gaviCost/totCost)
 ))
</f>
        <v>0.9785894642</v>
      </c>
      <c r="AN6" s="24">
        <v>11.0</v>
      </c>
      <c r="AO6" s="27">
        <v>1271297.76</v>
      </c>
      <c r="AP6" s="24">
        <v>237.0</v>
      </c>
      <c r="AQ6" s="29">
        <f>'Vaccine pricing'!$B$3*4/((S6/1000000)*'Vaccine efficacy curves'!$C$3)</f>
        <v>65.07270044</v>
      </c>
      <c r="AR6" s="29">
        <f>'Vaccine pricing'!$B$3*4/((T6/1000000)*'Vaccine efficacy curves'!$C$3)</f>
        <v>34639.96827</v>
      </c>
      <c r="AS6" s="24">
        <f t="shared" si="11"/>
        <v>433446.6</v>
      </c>
      <c r="AT6" s="24">
        <f t="shared" si="12"/>
        <v>1733786.4</v>
      </c>
      <c r="AU6" s="30">
        <f>AT6*'Vaccine pricing'!B3</f>
        <v>5184021.336</v>
      </c>
      <c r="AV6" s="24">
        <f t="shared" si="13"/>
        <v>1119737.05</v>
      </c>
      <c r="AW6" s="25">
        <f t="shared" si="14"/>
        <v>0.3227431833</v>
      </c>
      <c r="AX6" s="24">
        <f t="shared" si="15"/>
        <v>758349.55</v>
      </c>
      <c r="AY6" s="25">
        <f t="shared" si="16"/>
        <v>0.6772568167</v>
      </c>
      <c r="AZ6" s="24">
        <f t="shared" si="17"/>
        <v>3033398.2</v>
      </c>
      <c r="BA6" s="30">
        <f>AZ6*'Vaccine pricing'!B3</f>
        <v>9069860.618</v>
      </c>
      <c r="BB6" s="30">
        <v>606679.64</v>
      </c>
    </row>
    <row r="7" ht="22.5" customHeight="1">
      <c r="A7" s="3" t="s">
        <v>82</v>
      </c>
      <c r="B7" s="20">
        <f>SUMIFS('Shipments by country'!F:F, 
        'Shipments by country'!B:B, A7, 
        'Shipments by country'!C:C, "RTS,S", 
        'Shipments by country'!G:G, "Delivered")
</f>
        <v>961800</v>
      </c>
      <c r="C7" s="4">
        <f>SUMIFS('Shipments by country'!F:F, 
        'Shipments by country'!B:B, A7, 
        'Shipments by country'!C:C, "R21", 
        'Shipments by country'!G:G, "Delivered")
</f>
        <v>0</v>
      </c>
      <c r="D7" s="20">
        <f t="shared" si="1"/>
        <v>961800</v>
      </c>
      <c r="E7" s="4">
        <f>SUMIFS('Shipments by country'!F:F, 
        'Shipments by country'!B:B, A7, 
        'Shipments by country'!C:C, "RTS,S")
</f>
        <v>1387900</v>
      </c>
      <c r="F7" s="4">
        <f>SUMIFS('Shipments by country'!F:F, 
        'Shipments by country'!B:B, A7, 
        'Shipments by country'!C:C, "R21")
</f>
        <v>0</v>
      </c>
      <c r="G7" s="4">
        <f t="shared" si="2"/>
        <v>1387900</v>
      </c>
      <c r="H7" s="21" t="s">
        <v>74</v>
      </c>
      <c r="I7" s="6">
        <v>2.35E7</v>
      </c>
      <c r="J7" s="21">
        <v>2.8372687E7</v>
      </c>
      <c r="K7" s="23">
        <v>4393101.0</v>
      </c>
      <c r="L7" s="23">
        <f t="shared" si="3"/>
        <v>3953790.9</v>
      </c>
      <c r="M7" s="24">
        <f t="shared" si="4"/>
        <v>346975</v>
      </c>
      <c r="N7" s="25">
        <f t="shared" si="5"/>
        <v>0.08775754934</v>
      </c>
      <c r="O7" s="23">
        <f t="shared" si="6"/>
        <v>3606815.9</v>
      </c>
      <c r="P7" s="25">
        <f t="shared" si="7"/>
        <v>0.9122424507</v>
      </c>
      <c r="Q7" s="6">
        <v>7343057.0</v>
      </c>
      <c r="R7" s="6">
        <v>11602.0</v>
      </c>
      <c r="S7" s="24">
        <f t="shared" si="8"/>
        <v>258807.2466</v>
      </c>
      <c r="T7" s="24">
        <f t="shared" si="9"/>
        <v>408.9143901</v>
      </c>
      <c r="U7" s="5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$A7) ) ), 0 )"),67804.1096191503)</f>
        <v>67804.10962</v>
      </c>
      <c r="V7" s="5">
        <f>SUMIF('Shipments by country'!$B:$B,$A7,'Shipments by country'!$K:$K)</f>
        <v>2559.489872</v>
      </c>
      <c r="W7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$A7) ) ), 0 )"),134.50269141852158)</f>
        <v>134.5026914</v>
      </c>
      <c r="X7" s="5">
        <f>SUMIF('Shipments by country'!$B:$B,$A7,'Shipments by country'!$L:$L)</f>
        <v>57094.8566</v>
      </c>
      <c r="Y7" s="6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$A7) ) ), 0 )"),67804.1096191503)</f>
        <v>67804.10962</v>
      </c>
      <c r="Z7" s="5">
        <f>SUMIF('Shipments by country'!$B:$B,$A7,'Shipments by country'!$M:$M)</f>
        <v>2003.133365</v>
      </c>
      <c r="AA7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$A7) ) ), 0 )"),134.50269141852158)</f>
        <v>134.5026914</v>
      </c>
      <c r="AB7" s="5">
        <f>SUMIF('Shipments by country'!$B:$B,$A7,'Shipments by country'!$N:$N)</f>
        <v>44684.1433</v>
      </c>
      <c r="AC7" s="5">
        <f>IFERROR(__xludf.DUMMYFUNCTION("IFERROR( SUM( FILTER( 'Shipments by country'!$H$2:$H1023 * ( INDEX(Countries!$S$2:$S1023, MATCH('Shipments by country'!$B$2:$B1023, Countries!$A$2:$A1023, 0) ) / 1000000 ) * 'Shipments by country'!$J$2:$J1023, ('Shipments by country'!$E$2:$E1023 &lt; NOW()) "&amp;"* ('Shipments by country'!$I$2:$I1023 &gt; 0) * ('Shipments by country'!$B$2:$B1023 = $A7) ) ), 0 )"),64537.07067391035)</f>
        <v>64537.07067</v>
      </c>
      <c r="AD7" s="5">
        <f>SUMIF('Shipments by country'!$B:$B,$A7,'Shipments by country'!$O:$O)</f>
        <v>2470.132536</v>
      </c>
      <c r="AE7" s="5">
        <f>IFERROR(__xludf.DUMMYFUNCTION("IFERROR( SUM( FILTER( 'Shipments by country'!$H$2:$H1023 * ( INDEX(Countries!$T$2:$T1023, MATCH('Shipments by country'!$B$2:$B1023, Countries!$A$2:$A1023, 0) ) / 1000000 ) * 'Shipments by country'!$J$2:$J1023, ('Shipments by country'!$E$2:$E1023 &lt; NOW()) "&amp;"* ('Shipments by country'!$I$2:$I1023 &gt; 0) * ('Shipments by country'!$B$2:$B1023 = $A7) ) ), 0 )"),128.02188172170358)</f>
        <v>128.0218817</v>
      </c>
      <c r="AF7" s="5">
        <f>SUMIF('Shipments by country'!$B:$B,$A7,'Shipments by country'!$P:$P)</f>
        <v>55101.55148</v>
      </c>
      <c r="AG7" s="5">
        <f>IFERROR(__xludf.DUMMYFUNCTION("IFERROR(
  SUM(
    FILTER(
      'Shipments by country'!$H$2:$H1023                                *
      INDEX(Countries!$S$2:$S1023,
            MATCH('Shipments by country'!$B$2:$B1023, Countries!$A$2:$A1023, 0)
           ) / 1000000                "&amp;"                                 *
      'Shipments by country'!$J$2:$J1023,
      ( 'Shipments by country'!$E$2:$E1023 &lt;  NOW()           )        *
      ( 'Shipments by country'!$I$2:$I1023 &gt; 0.25             )        *
      ( 'Shipments by country'!$"&amp;"B$2:$B1023 =  $A7             )
    )
  ),
  0
)
"),64537.07067391035)</f>
        <v>64537.07067</v>
      </c>
      <c r="AH7" s="5">
        <f>SUMIF('Shipments by country'!$B:$B,$A7,'Shipments by country'!$Q:$Q)</f>
        <v>11782.00579</v>
      </c>
      <c r="AI7" s="26">
        <f>IFERROR(__xludf.DUMMYFUNCTION("IFERROR(
  SUM(
    FILTER(
      'Shipments by country'!$H$2:$H1023
        * ( INDEX(Countries!$T$2:$T1023,
                 MATCH('Shipments by country'!$B$2:$B1023, Countries!$A$2:$A1023, 0)
               ) / 1000000 )
        * 'Shipments by country"&amp;"'!$J$2:$J1023,
      ('Shipments by country'!$E$2:$E1023 &lt; NOW()) *
      ('Shipments by country'!$I$2:$I1023 &gt; 0.25) *
      ('Shipments by country'!$B$2:$B1023 = $A7)
    )
  ),
  0
)
"),128.02188172170358)</f>
        <v>128.0218817</v>
      </c>
      <c r="AJ7" s="5">
        <f>SUMIF('Shipments by country'!$B:$B,$A7,'Shipments by country'!$R:$R)</f>
        <v>18.61552092</v>
      </c>
      <c r="AK7" s="26">
        <f t="shared" si="10"/>
        <v>14427263.6</v>
      </c>
      <c r="AL7" s="27">
        <f>AK7*'Vaccine pricing'!B3</f>
        <v>43137518.16</v>
      </c>
      <c r="AM7" s="28">
        <f>IF($A7="","",
 LET(
  ctry,$A7,
  ctryCol,'Shipments by country'!$B$2:$B1023,
  vaccCol,'Shipments by country'!$C$2:$C1023,
  finCol,'Shipments by country'!$D$2:$D1023,
  doseCol,'Shipments by country'!$F$2:$F1023,
  price,IFERROR(VLOOKUP(vaccCol,'Vaccine pricing'!$A$2:$B1023,2,FALSE),0),
  totCost,SUMPRODUCT((ctryCol=ctry)*doseCol*price),
  gaviCost,SUMPRODUCT((ctryCol=ctry)*(finCol="Gavi")*doseCol*price),
  IF(totCost=0,"",gaviCost/totCost)
 ))
</f>
        <v>0.9770876864</v>
      </c>
      <c r="AN7" s="24">
        <v>11.0</v>
      </c>
      <c r="AO7" s="27">
        <v>1.167326557241542E7</v>
      </c>
      <c r="AP7" s="24">
        <v>1633.0</v>
      </c>
      <c r="AQ7" s="29">
        <f>'Vaccine pricing'!$B$3*4/((S7/1000000)*'Vaccine efficacy curves'!$C$3)</f>
        <v>61.61599754</v>
      </c>
      <c r="AR7" s="29">
        <f>'Vaccine pricing'!$B$3*4/((T7/1000000)*'Vaccine efficacy curves'!$C$3)</f>
        <v>38997.56784</v>
      </c>
      <c r="AS7" s="24">
        <f t="shared" si="11"/>
        <v>878620.2</v>
      </c>
      <c r="AT7" s="24">
        <f t="shared" si="12"/>
        <v>3514480.8</v>
      </c>
      <c r="AU7" s="30">
        <f>AT7*'Vaccine pricing'!B3</f>
        <v>10508297.59</v>
      </c>
      <c r="AV7" s="24">
        <f t="shared" si="13"/>
        <v>2269768.85</v>
      </c>
      <c r="AW7" s="25">
        <f t="shared" si="14"/>
        <v>0.1528679892</v>
      </c>
      <c r="AX7" s="24">
        <f t="shared" si="15"/>
        <v>1922793.85</v>
      </c>
      <c r="AY7" s="25">
        <f t="shared" si="16"/>
        <v>0.8471320108</v>
      </c>
      <c r="AZ7" s="24">
        <f t="shared" si="17"/>
        <v>7691175.4</v>
      </c>
      <c r="BA7" s="30">
        <f>AZ7*'Vaccine pricing'!B3</f>
        <v>22996614.45</v>
      </c>
      <c r="BB7" s="30">
        <v>6223018.827231271</v>
      </c>
    </row>
    <row r="8" ht="22.5" customHeight="1">
      <c r="A8" s="3" t="s">
        <v>83</v>
      </c>
      <c r="B8" s="20">
        <f>SUMIFS('Shipments by country'!F:F, 
        'Shipments by country'!B:B, A8, 
        'Shipments by country'!C:C, "RTS,S", 
        'Shipments by country'!G:G, "Delivered")
</f>
        <v>0</v>
      </c>
      <c r="C8" s="4">
        <f>SUMIFS('Shipments by country'!F:F, 
        'Shipments by country'!B:B, A8, 
        'Shipments by country'!C:C, "R21", 
        'Shipments by country'!G:G, "Delivered")
</f>
        <v>430400</v>
      </c>
      <c r="D8" s="20">
        <f t="shared" si="1"/>
        <v>430400</v>
      </c>
      <c r="E8" s="4">
        <f>SUMIFS('Shipments by country'!F:F, 
        'Shipments by country'!B:B, A8, 
        'Shipments by country'!C:C, "RTS,S")
</f>
        <v>0</v>
      </c>
      <c r="F8" s="4">
        <f>SUMIFS('Shipments by country'!F:F, 
        'Shipments by country'!B:B, A8, 
        'Shipments by country'!C:C, "R21")
</f>
        <v>452200</v>
      </c>
      <c r="G8" s="4">
        <f t="shared" si="2"/>
        <v>452200</v>
      </c>
      <c r="H8" s="21" t="s">
        <v>80</v>
      </c>
      <c r="I8" s="6">
        <v>0.0</v>
      </c>
      <c r="J8" s="21">
        <v>5152420.0</v>
      </c>
      <c r="K8" s="23">
        <v>940906.0</v>
      </c>
      <c r="L8" s="23">
        <f t="shared" si="3"/>
        <v>846815.4</v>
      </c>
      <c r="M8" s="24">
        <f t="shared" si="4"/>
        <v>113050</v>
      </c>
      <c r="N8" s="25">
        <f t="shared" si="5"/>
        <v>0.1335001702</v>
      </c>
      <c r="O8" s="23">
        <f t="shared" si="6"/>
        <v>733765.4</v>
      </c>
      <c r="P8" s="25">
        <f t="shared" si="7"/>
        <v>0.8664998298</v>
      </c>
      <c r="Q8" s="6">
        <v>1574284.0</v>
      </c>
      <c r="R8" s="6">
        <v>5052.0</v>
      </c>
      <c r="S8" s="24">
        <f t="shared" si="8"/>
        <v>305542.6382</v>
      </c>
      <c r="T8" s="24">
        <f t="shared" si="9"/>
        <v>980.5101292</v>
      </c>
      <c r="U8" s="5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$A8) ) ), 0 )"),21299.823939918464)</f>
        <v>21299.82394</v>
      </c>
      <c r="V8" s="5">
        <f>SUMIF('Shipments by country'!$B:$B,$A8,'Shipments by country'!$K:$K)</f>
        <v>354.6385643</v>
      </c>
      <c r="W8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$A8) ) ), 0 )"),42.252359963894385)</f>
        <v>42.25235996</v>
      </c>
      <c r="X8" s="5">
        <f>SUMIF('Shipments by country'!$B:$B,$A8,'Shipments by country'!$L:$L)</f>
        <v>21448.37739</v>
      </c>
      <c r="Y8" s="6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$A8) ) ), 0 )"),21299.823939918464)</f>
        <v>21299.82394</v>
      </c>
      <c r="Z8" s="5">
        <f>SUMIF('Shipments by country'!$B:$B,$A8,'Shipments by country'!$M:$M)</f>
        <v>252.7144643</v>
      </c>
      <c r="AA8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$A8) ) ), 0 )"),42.252359963894385)</f>
        <v>42.25235996</v>
      </c>
      <c r="AB8" s="5">
        <f>SUMIF('Shipments by country'!$B:$B,$A8,'Shipments by country'!$N:$N)</f>
        <v>15284.05466</v>
      </c>
      <c r="AC8" s="5">
        <f>IFERROR(__xludf.DUMMYFUNCTION("IFERROR( SUM( FILTER( 'Shipments by country'!$H$2:$H1023 * ( INDEX(Countries!$S$2:$S1023, MATCH('Shipments by country'!$B$2:$B1023, Countries!$A$2:$A1023, 0) ) / 1000000 ) * 'Shipments by country'!$J$2:$J1023, ('Shipments by country'!$E$2:$E1023 &lt; NOW()) "&amp;"* ('Shipments by country'!$I$2:$I1023 &gt; 0) * ('Shipments by country'!$B$2:$B1023 = $A8) ) ), 0 )"),27860.751378014094)</f>
        <v>27860.75138</v>
      </c>
      <c r="AD8" s="5">
        <f>SUMIF('Shipments by country'!$B:$B,$A8,'Shipments by country'!$O:$O)</f>
        <v>346.7090019</v>
      </c>
      <c r="AE8" s="5">
        <f>IFERROR(__xludf.DUMMYFUNCTION("IFERROR( SUM( FILTER( 'Shipments by country'!$H$2:$H1023 * ( INDEX(Countries!$T$2:$T1023, MATCH('Shipments by country'!$B$2:$B1023, Countries!$A$2:$A1023, 0) ) / 1000000 ) * 'Shipments by country'!$J$2:$J1023, ('Shipments by country'!$E$2:$E1023 &lt; NOW()) "&amp;"* ('Shipments by country'!$I$2:$I1023 &gt; 0) * ('Shipments by country'!$B$2:$B1023 = $A8) ) ), 0 )"),55.26724067809006)</f>
        <v>55.26724068</v>
      </c>
      <c r="AF8" s="5">
        <f>SUMIF('Shipments by country'!$B:$B,$A8,'Shipments by country'!$P:$P)</f>
        <v>20968.8011</v>
      </c>
      <c r="AG8" s="5">
        <f>IFERROR(__xludf.DUMMYFUNCTION("IFERROR(
  SUM(
    FILTER(
      'Shipments by country'!$H$2:$H1023                                *
      INDEX(Countries!$S$2:$S1023,
            MATCH('Shipments by country'!$B$2:$B1023, Countries!$A$2:$A1023, 0)
           ) / 1000000                "&amp;"                                 *
      'Shipments by country'!$J$2:$J1023,
      ( 'Shipments by country'!$E$2:$E1023 &lt;  NOW()           )        *
      ( 'Shipments by country'!$I$2:$I1023 &gt; 0.25             )        *
      ( 'Shipments by country'!$"&amp;"B$2:$B1023 =  $A8             )
    )
  ),
  0
)
"),27860.751378014094)</f>
        <v>27860.75138</v>
      </c>
      <c r="AH8" s="5">
        <f>SUMIF('Shipments by country'!$B:$B,$A8,'Shipments by country'!$Q:$Q)</f>
        <v>5912.966165</v>
      </c>
      <c r="AI8" s="26">
        <f>IFERROR(__xludf.DUMMYFUNCTION("IFERROR(
  SUM(
    FILTER(
      'Shipments by country'!$H$2:$H1023
        * ( INDEX(Countries!$T$2:$T1023,
                 MATCH('Shipments by country'!$B$2:$B1023, Countries!$A$2:$A1023, 0)
               ) / 1000000 )
        * 'Shipments by country"&amp;"'!$J$2:$J1023,
      ('Shipments by country'!$E$2:$E1023 &lt; NOW()) *
      ('Shipments by country'!$I$2:$I1023 &gt; 0.25) *
      ('Shipments by country'!$B$2:$B1023 = $A8)
    )
  ),
  0
)
"),55.26724067809006)</f>
        <v>55.26724068</v>
      </c>
      <c r="AJ8" s="5">
        <f>SUMIF('Shipments by country'!$B:$B,$A8,'Shipments by country'!$R:$R)</f>
        <v>18.97516907</v>
      </c>
      <c r="AK8" s="26">
        <f t="shared" si="10"/>
        <v>2935061.6</v>
      </c>
      <c r="AL8" s="27">
        <f>AK8*'Vaccine pricing'!B3</f>
        <v>8775834.184</v>
      </c>
      <c r="AM8" s="28">
        <f>IF($A8="","",
 LET(
  ctry,$A8,
  ctryCol,'Shipments by country'!$B$2:$B1023,
  vaccCol,'Shipments by country'!$C$2:$C1023,
  finCol,'Shipments by country'!$D$2:$D1023,
  doseCol,'Shipments by country'!$F$2:$F1023,
  price,IFERROR(VLOOKUP(vaccCol,'Vaccine pricing'!$A$2:$B1023,2,FALSE),0),
  totCost,SUMPRODUCT((ctryCol=ctry)*doseCol*price),
  gaviCost,SUMPRODUCT((ctryCol=ctry)*(finCol="Gavi")*doseCol*price),
  IF(totCost=0,"",gaviCost/totCost)
 ))
</f>
        <v>0.9517912428</v>
      </c>
      <c r="AN8" s="24">
        <v>11.0</v>
      </c>
      <c r="AO8" s="27">
        <v>587012.3200000001</v>
      </c>
      <c r="AP8" s="24">
        <v>493.0</v>
      </c>
      <c r="AQ8" s="29">
        <f>'Vaccine pricing'!$B$3*4/((S8/1000000)*'Vaccine efficacy curves'!$C$3)</f>
        <v>52.19129729</v>
      </c>
      <c r="AR8" s="29">
        <f>'Vaccine pricing'!$B$3*4/((T8/1000000)*'Vaccine efficacy curves'!$C$3)</f>
        <v>16263.64297</v>
      </c>
      <c r="AS8" s="24">
        <f t="shared" si="11"/>
        <v>188181.2</v>
      </c>
      <c r="AT8" s="24">
        <f t="shared" si="12"/>
        <v>752724.8</v>
      </c>
      <c r="AU8" s="30">
        <f>AT8*'Vaccine pricing'!B3</f>
        <v>2250647.152</v>
      </c>
      <c r="AV8" s="24">
        <f t="shared" si="13"/>
        <v>486134.7667</v>
      </c>
      <c r="AW8" s="25">
        <f t="shared" si="14"/>
        <v>0.2325486835</v>
      </c>
      <c r="AX8" s="24">
        <f t="shared" si="15"/>
        <v>373084.7667</v>
      </c>
      <c r="AY8" s="25">
        <f t="shared" si="16"/>
        <v>0.7674513165</v>
      </c>
      <c r="AZ8" s="24">
        <f t="shared" si="17"/>
        <v>1492339.067</v>
      </c>
      <c r="BA8" s="30">
        <f>AZ8*'Vaccine pricing'!B3</f>
        <v>4462093.809</v>
      </c>
      <c r="BB8" s="30">
        <v>298467.81333333335</v>
      </c>
    </row>
    <row r="9" ht="22.5" customHeight="1">
      <c r="A9" s="3" t="s">
        <v>84</v>
      </c>
      <c r="B9" s="20">
        <f>SUMIFS('Shipments by country'!F:F, 
        'Shipments by country'!B:B, A9, 
        'Shipments by country'!C:C, "RTS,S", 
        'Shipments by country'!G:G, "Delivered")
</f>
        <v>0</v>
      </c>
      <c r="C9" s="4">
        <f>SUMIFS('Shipments by country'!F:F, 
        'Shipments by country'!B:B, A9, 
        'Shipments by country'!C:C, "R21", 
        'Shipments by country'!G:G, "Delivered")
</f>
        <v>553500</v>
      </c>
      <c r="D9" s="20">
        <f t="shared" si="1"/>
        <v>553500</v>
      </c>
      <c r="E9" s="4">
        <f>SUMIFS('Shipments by country'!F:F, 
        'Shipments by country'!B:B, A9, 
        'Shipments by country'!C:C, "RTS,S")
</f>
        <v>0</v>
      </c>
      <c r="F9" s="4">
        <f>SUMIFS('Shipments by country'!F:F, 
        'Shipments by country'!B:B, A9, 
        'Shipments by country'!C:C, "R21")
</f>
        <v>553500</v>
      </c>
      <c r="G9" s="4">
        <f t="shared" si="2"/>
        <v>553500</v>
      </c>
      <c r="H9" s="21" t="s">
        <v>80</v>
      </c>
      <c r="I9" s="6">
        <v>0.0</v>
      </c>
      <c r="J9" s="21">
        <v>1.9319064E7</v>
      </c>
      <c r="K9" s="23">
        <v>3546917.0</v>
      </c>
      <c r="L9" s="23">
        <f t="shared" si="3"/>
        <v>3192225.3</v>
      </c>
      <c r="M9" s="24">
        <f t="shared" si="4"/>
        <v>138375</v>
      </c>
      <c r="N9" s="25">
        <f t="shared" si="5"/>
        <v>0.04334750433</v>
      </c>
      <c r="O9" s="23">
        <f t="shared" si="6"/>
        <v>3053850.3</v>
      </c>
      <c r="P9" s="25">
        <f t="shared" si="7"/>
        <v>0.9566524957</v>
      </c>
      <c r="Q9" s="6">
        <v>3946418.0</v>
      </c>
      <c r="R9" s="6">
        <v>13707.0</v>
      </c>
      <c r="S9" s="24">
        <f t="shared" si="8"/>
        <v>204275.8386</v>
      </c>
      <c r="T9" s="24">
        <f t="shared" si="9"/>
        <v>709.5064233</v>
      </c>
      <c r="U9" s="5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$A9) ) ), 0 )"),27391.850721990868)</f>
        <v>27391.85072</v>
      </c>
      <c r="V9" s="5">
        <f>SUMIF('Shipments by country'!$B:$B,$A9,'Shipments by country'!$K:$K)</f>
        <v>1384.101467</v>
      </c>
      <c r="W9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$A9) ) ), 0 )"),54.33708466546362)</f>
        <v>54.33708467</v>
      </c>
      <c r="X9" s="5">
        <f>SUMIF('Shipments by country'!$B:$B,$A9,'Shipments by country'!$L:$L)</f>
        <v>20627.30633</v>
      </c>
      <c r="Y9" s="6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$A9) ) ), 0 )"),27391.850721990868)</f>
        <v>27391.85072</v>
      </c>
      <c r="Z9" s="5">
        <f>SUMIF('Shipments by country'!$B:$B,$A9,'Shipments by country'!$M:$M)</f>
        <v>1028.469068</v>
      </c>
      <c r="AA9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$A9) ) ), 0 )"),54.33708466546362)</f>
        <v>54.33708467</v>
      </c>
      <c r="AB9" s="5">
        <f>SUMIF('Shipments by country'!$B:$B,$A9,'Shipments by country'!$N:$N)</f>
        <v>15327.30586</v>
      </c>
      <c r="AC9" s="5">
        <f>IFERROR(__xludf.DUMMYFUNCTION("IFERROR( SUM( FILTER( 'Shipments by country'!$H$2:$H1023 * ( INDEX(Countries!$S$2:$S1023, MATCH('Shipments by country'!$B$2:$B1023, Countries!$A$2:$A1023, 0) ) / 1000000 ) * 'Shipments by country'!$J$2:$J1023, ('Shipments by country'!$E$2:$E1023 &lt; NOW()) "&amp;"* ('Shipments by country'!$I$2:$I1023 &gt; 0) * ('Shipments by country'!$B$2:$B1023 = $A9) ) ), 0 )"),36161.49383898846)</f>
        <v>36161.49384</v>
      </c>
      <c r="AD9" s="5">
        <f>SUMIF('Shipments by country'!$B:$B,$A9,'Shipments by country'!$O:$O)</f>
        <v>1367.168473</v>
      </c>
      <c r="AE9" s="5">
        <f>IFERROR(__xludf.DUMMYFUNCTION("IFERROR( SUM( FILTER( 'Shipments by country'!$H$2:$H1023 * ( INDEX(Countries!$T$2:$T1023, MATCH('Shipments by country'!$B$2:$B1023, Countries!$A$2:$A1023, 0) ) / 1000000 ) * 'Shipments by country'!$J$2:$J1023, ('Shipments by country'!$E$2:$E1023 &lt; NOW()) "&amp;"* ('Shipments by country'!$I$2:$I1023 &gt; 0) * ('Shipments by country'!$B$2:$B1023 = $A9) ) ), 0 )"),71.73338422077767)</f>
        <v>71.73338422</v>
      </c>
      <c r="AF9" s="5">
        <f>SUMIF('Shipments by country'!$B:$B,$A9,'Shipments by country'!$P:$P)</f>
        <v>20374.95341</v>
      </c>
      <c r="AG9" s="5">
        <f>IFERROR(__xludf.DUMMYFUNCTION("IFERROR(
  SUM(
    FILTER(
      'Shipments by country'!$H$2:$H1023                                *
      INDEX(Countries!$S$2:$S1023,
            MATCH('Shipments by country'!$B$2:$B1023, Countries!$A$2:$A1023, 0)
           ) / 1000000                "&amp;"                                 *
      'Shipments by country'!$J$2:$J1023,
      ( 'Shipments by country'!$E$2:$E1023 &lt;  NOW()           )        *
      ( 'Shipments by country'!$I$2:$I1023 &gt; 0.25             )        *
      ( 'Shipments by country'!$"&amp;"B$2:$B1023 =  $A9             )
    )
  ),
  0
)
"),36161.49383898846)</f>
        <v>36161.49384</v>
      </c>
      <c r="AH9" s="5">
        <f>SUMIF('Shipments by country'!$B:$B,$A9,'Shipments by country'!$Q:$Q)</f>
        <v>5136.187275</v>
      </c>
      <c r="AI9" s="26">
        <f>IFERROR(__xludf.DUMMYFUNCTION("IFERROR(
  SUM(
    FILTER(
      'Shipments by country'!$H$2:$H1023
        * ( INDEX(Countries!$T$2:$T1023,
                 MATCH('Shipments by country'!$B$2:$B1023, Countries!$A$2:$A1023, 0)
               ) / 1000000 )
        * 'Shipments by country"&amp;"'!$J$2:$J1023,
      ('Shipments by country'!$E$2:$E1023 &lt; NOW()) *
      ('Shipments by country'!$I$2:$I1023 &gt; 0.25) *
      ('Shipments by country'!$B$2:$B1023 = $A9)
    )
  ),
  0
)
"),71.73338422077767)</f>
        <v>71.73338422</v>
      </c>
      <c r="AJ9" s="5">
        <f>SUMIF('Shipments by country'!$B:$B,$A9,'Shipments by country'!$R:$R)</f>
        <v>17.83939739</v>
      </c>
      <c r="AK9" s="26">
        <f t="shared" si="10"/>
        <v>12215401.2</v>
      </c>
      <c r="AL9" s="27">
        <f>AK9*'Vaccine pricing'!B3</f>
        <v>36524049.59</v>
      </c>
      <c r="AM9" s="28">
        <f>IF($A9="","",
 LET(
  ctry,$A9,
  ctryCol,'Shipments by country'!$B$2:$B1023,
  vaccCol,'Shipments by country'!$C$2:$C1023,
  finCol,'Shipments by country'!$D$2:$D1023,
  doseCol,'Shipments by country'!$F$2:$F1023,
  price,IFERROR(VLOOKUP(vaccCol,'Vaccine pricing'!$A$2:$B1023,2,FALSE),0),
  totCost,SUMPRODUCT((ctryCol=ctry)*doseCol*price),
  gaviCost,SUMPRODUCT((ctryCol=ctry)*(finCol="Gavi")*doseCol*price),
  IF(totCost=0,"",gaviCost/totCost)
 ))
</f>
        <v>0.9521228546</v>
      </c>
      <c r="AN9" s="24">
        <v>11.0</v>
      </c>
      <c r="AO9" s="27">
        <v>2443080.24</v>
      </c>
      <c r="AP9" s="24">
        <v>683.0</v>
      </c>
      <c r="AQ9" s="29">
        <f>'Vaccine pricing'!$B$3*4/((S9/1000000)*'Vaccine efficacy curves'!$C$3)</f>
        <v>78.06437988</v>
      </c>
      <c r="AR9" s="29">
        <f>'Vaccine pricing'!$B$3*4/((T9/1000000)*'Vaccine efficacy curves'!$C$3)</f>
        <v>22475.71853</v>
      </c>
      <c r="AS9" s="24">
        <f t="shared" si="11"/>
        <v>709383.4</v>
      </c>
      <c r="AT9" s="24">
        <f t="shared" si="12"/>
        <v>2837533.6</v>
      </c>
      <c r="AU9" s="30">
        <f>AT9*'Vaccine pricing'!B3</f>
        <v>8484225.464</v>
      </c>
      <c r="AV9" s="24">
        <f t="shared" si="13"/>
        <v>1832573.783</v>
      </c>
      <c r="AW9" s="25">
        <f t="shared" si="14"/>
        <v>0.07550855592</v>
      </c>
      <c r="AX9" s="24">
        <f t="shared" si="15"/>
        <v>1694198.783</v>
      </c>
      <c r="AY9" s="25">
        <f t="shared" si="16"/>
        <v>0.9244914441</v>
      </c>
      <c r="AZ9" s="24">
        <f t="shared" si="17"/>
        <v>6776795.133</v>
      </c>
      <c r="BA9" s="30">
        <f>AZ9*'Vaccine pricing'!B3</f>
        <v>20262617.45</v>
      </c>
      <c r="BB9" s="30">
        <v>1355359.0266666668</v>
      </c>
    </row>
    <row r="10" ht="22.5" customHeight="1">
      <c r="A10" s="3" t="s">
        <v>85</v>
      </c>
      <c r="B10" s="20">
        <f>SUMIFS('Shipments by country'!F:F, 
        'Shipments by country'!B:B, A10, 
        'Shipments by country'!C:C, "RTS,S", 
        'Shipments by country'!G:G, "Delivered")
</f>
        <v>0</v>
      </c>
      <c r="C10" s="4">
        <f>SUMIFS('Shipments by country'!F:F, 
        'Shipments by country'!B:B, A10, 
        'Shipments by country'!C:C, "R21", 
        'Shipments by country'!G:G, "Delivered")
</f>
        <v>0</v>
      </c>
      <c r="D10" s="20">
        <f t="shared" si="1"/>
        <v>0</v>
      </c>
      <c r="E10" s="4">
        <f>SUMIFS('Shipments by country'!F:F, 
        'Shipments by country'!B:B, A10, 
        'Shipments by country'!C:C, "RTS,S")
</f>
        <v>0</v>
      </c>
      <c r="F10" s="4">
        <f>SUMIFS('Shipments by country'!F:F, 
        'Shipments by country'!B:B, A10, 
        'Shipments by country'!C:C, "R21")
</f>
        <v>0</v>
      </c>
      <c r="G10" s="4">
        <f t="shared" si="2"/>
        <v>0</v>
      </c>
      <c r="H10" s="21" t="s">
        <v>74</v>
      </c>
      <c r="I10" s="6">
        <v>0.0</v>
      </c>
      <c r="J10" s="21">
        <v>850387.0</v>
      </c>
      <c r="K10" s="23">
        <v>114145.0</v>
      </c>
      <c r="L10" s="23">
        <f t="shared" si="3"/>
        <v>102730.5</v>
      </c>
      <c r="M10" s="24">
        <f t="shared" si="4"/>
        <v>0</v>
      </c>
      <c r="N10" s="25">
        <f t="shared" si="5"/>
        <v>0</v>
      </c>
      <c r="O10" s="23">
        <f t="shared" si="6"/>
        <v>102730.5</v>
      </c>
      <c r="P10" s="25">
        <f t="shared" si="7"/>
        <v>1</v>
      </c>
      <c r="Q10" s="6">
        <v>21049.0</v>
      </c>
      <c r="R10" s="6">
        <v>53.0</v>
      </c>
      <c r="S10" s="24">
        <f t="shared" si="8"/>
        <v>24752.25985</v>
      </c>
      <c r="T10" s="24">
        <f t="shared" si="9"/>
        <v>62.32456517</v>
      </c>
      <c r="U10" s="5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$A10) ) ), 0 )"),0.0)</f>
        <v>0</v>
      </c>
      <c r="V10" s="5">
        <f>SUMIF('Shipments by country'!$B:$B,$A10,'Shipments by country'!$K:$K)</f>
        <v>0</v>
      </c>
      <c r="W10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$A10) ) ), 0 )"),0.0)</f>
        <v>0</v>
      </c>
      <c r="X10" s="5">
        <f>SUMIF('Shipments by country'!$B:$B,$A10,'Shipments by country'!$L:$L)</f>
        <v>0</v>
      </c>
      <c r="Y10" s="6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$A10) ) ), 0 )"),0.0)</f>
        <v>0</v>
      </c>
      <c r="Z10" s="5">
        <f>SUMIF('Shipments by country'!$B:$B,$A10,'Shipments by country'!$M:$M)</f>
        <v>0</v>
      </c>
      <c r="AA10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$A10) ) ), 0 )"),0.0)</f>
        <v>0</v>
      </c>
      <c r="AB10" s="5">
        <f>SUMIF('Shipments by country'!$B:$B,$A10,'Shipments by country'!$N:$N)</f>
        <v>0</v>
      </c>
      <c r="AC10" s="5">
        <f>IFERROR(__xludf.DUMMYFUNCTION("IFERROR( SUM( FILTER( 'Shipments by country'!$H$2:$H1023 * ( INDEX(Countries!$S$2:$S1023, MATCH('Shipments by country'!$B$2:$B1023, Countries!$A$2:$A1023, 0) ) / 1000000 ) * 'Shipments by country'!$J$2:$J1023, ('Shipments by country'!$E$2:$E1023 &lt; NOW()) "&amp;"* ('Shipments by country'!$I$2:$I1023 &gt; 0) * ('Shipments by country'!$B$2:$B1023 = $A10) ) ), 0 )"),0.0)</f>
        <v>0</v>
      </c>
      <c r="AD10" s="5">
        <f>SUMIF('Shipments by country'!$B:$B,$A10,'Shipments by country'!$O:$O)</f>
        <v>0</v>
      </c>
      <c r="AE10" s="5">
        <f>IFERROR(__xludf.DUMMYFUNCTION("IFERROR( SUM( FILTER( 'Shipments by country'!$H$2:$H1023 * ( INDEX(Countries!$T$2:$T1023, MATCH('Shipments by country'!$B$2:$B1023, Countries!$A$2:$A1023, 0) ) / 1000000 ) * 'Shipments by country'!$J$2:$J1023, ('Shipments by country'!$E$2:$E1023 &lt; NOW()) "&amp;"* ('Shipments by country'!$I$2:$I1023 &gt; 0) * ('Shipments by country'!$B$2:$B1023 = $A10) ) ), 0 )"),0.0)</f>
        <v>0</v>
      </c>
      <c r="AF10" s="5">
        <f>SUMIF('Shipments by country'!$B:$B,$A10,'Shipments by country'!$P:$P)</f>
        <v>0</v>
      </c>
      <c r="AG10" s="5">
        <f>IFERROR(__xludf.DUMMYFUNCTION("IFERROR(
  SUM(
    FILTER(
      'Shipments by country'!$H$2:$H1023                                *
      INDEX(Countries!$S$2:$S1023,
            MATCH('Shipments by country'!$B$2:$B1023, Countries!$A$2:$A1023, 0)
           ) / 1000000                "&amp;"                                 *
      'Shipments by country'!$J$2:$J1023,
      ( 'Shipments by country'!$E$2:$E1023 &lt;  NOW()           )        *
      ( 'Shipments by country'!$I$2:$I1023 &gt; 0.25             )        *
      ( 'Shipments by country'!$"&amp;"B$2:$B1023 =  $A10             )
    )
  ),
  0
)
"),0.0)</f>
        <v>0</v>
      </c>
      <c r="AH10" s="5">
        <f>SUMIF('Shipments by country'!$B:$B,$A10,'Shipments by country'!$Q:$Q)</f>
        <v>0</v>
      </c>
      <c r="AI10" s="26">
        <f>IFERROR(__xludf.DUMMYFUNCTION("IFERROR(
  SUM(
    FILTER(
      'Shipments by country'!$H$2:$H1023
        * ( INDEX(Countries!$T$2:$T1023,
                 MATCH('Shipments by country'!$B$2:$B1023, Countries!$A$2:$A1023, 0)
               ) / 1000000 )
        * 'Shipments by country"&amp;"'!$J$2:$J1023,
      ('Shipments by country'!$E$2:$E1023 &lt; NOW()) *
      ('Shipments by country'!$I$2:$I1023 &gt; 0.25) *
      ('Shipments by country'!$B$2:$B1023 = $A10)
    )
  ),
  0
)
"),0.0)</f>
        <v>0</v>
      </c>
      <c r="AJ10" s="5">
        <f>SUMIF('Shipments by country'!$B:$B,$A10,'Shipments by country'!$R:$R)</f>
        <v>0</v>
      </c>
      <c r="AK10" s="26">
        <f t="shared" si="10"/>
        <v>410922</v>
      </c>
      <c r="AL10" s="27">
        <f>AK10*'Vaccine pricing'!B3</f>
        <v>1228656.78</v>
      </c>
      <c r="AM10" s="28" t="str">
        <f>IF($A10="","",
 LET(
  ctry,$A10,
  ctryCol,'Shipments by country'!$B$2:$B1023,
  vaccCol,'Shipments by country'!$C$2:$C1023,
  finCol,'Shipments by country'!$D$2:$D1023,
  doseCol,'Shipments by country'!$F$2:$F1023,
  price,IFERROR(VLOOKUP(vaccCol,'Vaccine pricing'!$A$2:$B1023,2,FALSE),0),
  totCost,SUMPRODUCT((ctryCol=ctry)*doseCol*price),
  gaviCost,SUMPRODUCT((ctryCol=ctry)*(finCol="Gavi")*doseCol*price),
  IF(totCost=0,"",gaviCost/totCost)
 ))
</f>
        <v/>
      </c>
      <c r="AN10" s="24">
        <v>6.0</v>
      </c>
      <c r="AO10" s="27">
        <v>165302.18364037498</v>
      </c>
      <c r="AP10" s="24">
        <v>1557.0</v>
      </c>
      <c r="AQ10" s="29">
        <f>'Vaccine pricing'!$B$3*4/((S10/1000000)*'Vaccine efficacy curves'!$C$3)</f>
        <v>644.2509396</v>
      </c>
      <c r="AR10" s="29">
        <f>'Vaccine pricing'!$B$3*4/((T10/1000000)*'Vaccine efficacy curves'!$C$3)</f>
        <v>255864.8684</v>
      </c>
      <c r="AS10" s="24">
        <f t="shared" si="11"/>
        <v>22829</v>
      </c>
      <c r="AT10" s="24">
        <f t="shared" si="12"/>
        <v>91316</v>
      </c>
      <c r="AU10" s="30">
        <f>AT10*'Vaccine pricing'!B3</f>
        <v>273034.84</v>
      </c>
      <c r="AV10" s="24">
        <f t="shared" si="13"/>
        <v>58974.91667</v>
      </c>
      <c r="AW10" s="25">
        <f t="shared" si="14"/>
        <v>0</v>
      </c>
      <c r="AX10" s="24">
        <f t="shared" si="15"/>
        <v>58974.91667</v>
      </c>
      <c r="AY10" s="25">
        <f t="shared" si="16"/>
        <v>1</v>
      </c>
      <c r="AZ10" s="24">
        <f t="shared" si="17"/>
        <v>235899.6667</v>
      </c>
      <c r="BA10" s="30">
        <f>AZ10*'Vaccine pricing'!B3</f>
        <v>705340.0033</v>
      </c>
      <c r="BB10" s="30">
        <v>94895.6980157708</v>
      </c>
    </row>
    <row r="11" ht="22.5" customHeight="1">
      <c r="A11" s="3" t="s">
        <v>86</v>
      </c>
      <c r="B11" s="20">
        <f>SUMIFS('Shipments by country'!F:F, 
        'Shipments by country'!B:B, A11, 
        'Shipments by country'!C:C, "RTS,S", 
        'Shipments by country'!G:G, "Delivered")
</f>
        <v>0</v>
      </c>
      <c r="C11" s="4">
        <f>SUMIFS('Shipments by country'!F:F, 
        'Shipments by country'!B:B, A11, 
        'Shipments by country'!C:C, "R21", 
        'Shipments by country'!G:G, "Delivered")
</f>
        <v>0</v>
      </c>
      <c r="D11" s="20">
        <f t="shared" si="1"/>
        <v>0</v>
      </c>
      <c r="E11" s="4">
        <f>SUMIFS('Shipments by country'!F:F, 
        'Shipments by country'!B:B, A11, 
        'Shipments by country'!C:C, "RTS,S")
</f>
        <v>0</v>
      </c>
      <c r="F11" s="4">
        <f>SUMIFS('Shipments by country'!F:F, 
        'Shipments by country'!B:B, A11, 
        'Shipments by country'!C:C, "R21")
</f>
        <v>0</v>
      </c>
      <c r="G11" s="4">
        <f t="shared" si="2"/>
        <v>0</v>
      </c>
      <c r="H11" s="21" t="s">
        <v>87</v>
      </c>
      <c r="I11" s="6">
        <v>0.0</v>
      </c>
      <c r="J11" s="21">
        <v>6182885.0</v>
      </c>
      <c r="K11" s="23">
        <v>885681.0</v>
      </c>
      <c r="L11" s="23">
        <f t="shared" si="3"/>
        <v>797112.9</v>
      </c>
      <c r="M11" s="24">
        <f t="shared" si="4"/>
        <v>0</v>
      </c>
      <c r="N11" s="25">
        <f t="shared" si="5"/>
        <v>0</v>
      </c>
      <c r="O11" s="23">
        <f t="shared" si="6"/>
        <v>797112.9</v>
      </c>
      <c r="P11" s="25">
        <f t="shared" si="7"/>
        <v>1</v>
      </c>
      <c r="Q11" s="6">
        <v>1327964.0</v>
      </c>
      <c r="R11" s="6">
        <v>2244.0</v>
      </c>
      <c r="S11" s="24">
        <f t="shared" si="8"/>
        <v>214780.6404</v>
      </c>
      <c r="T11" s="24">
        <f t="shared" si="9"/>
        <v>362.9373666</v>
      </c>
      <c r="U11" s="5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$A11) ) ), 0 )"),0.0)</f>
        <v>0</v>
      </c>
      <c r="V11" s="5">
        <f>SUMIF('Shipments by country'!$B:$B,$A11,'Shipments by country'!$K:$K)</f>
        <v>0</v>
      </c>
      <c r="W11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$A11) ) ), 0 )"),0.0)</f>
        <v>0</v>
      </c>
      <c r="X11" s="5">
        <f>SUMIF('Shipments by country'!$B:$B,$A11,'Shipments by country'!$L:$L)</f>
        <v>0</v>
      </c>
      <c r="Y11" s="6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$A11) ) ), 0 )"),0.0)</f>
        <v>0</v>
      </c>
      <c r="Z11" s="5">
        <f>SUMIF('Shipments by country'!$B:$B,$A11,'Shipments by country'!$M:$M)</f>
        <v>0</v>
      </c>
      <c r="AA11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$A11) ) ), 0 )"),0.0)</f>
        <v>0</v>
      </c>
      <c r="AB11" s="5">
        <f>SUMIF('Shipments by country'!$B:$B,$A11,'Shipments by country'!$N:$N)</f>
        <v>0</v>
      </c>
      <c r="AC11" s="5">
        <f>IFERROR(__xludf.DUMMYFUNCTION("IFERROR( SUM( FILTER( 'Shipments by country'!$H$2:$H1023 * ( INDEX(Countries!$S$2:$S1023, MATCH('Shipments by country'!$B$2:$B1023, Countries!$A$2:$A1023, 0) ) / 1000000 ) * 'Shipments by country'!$J$2:$J1023, ('Shipments by country'!$E$2:$E1023 &lt; NOW()) "&amp;"* ('Shipments by country'!$I$2:$I1023 &gt; 0) * ('Shipments by country'!$B$2:$B1023 = $A11) ) ), 0 )"),0.0)</f>
        <v>0</v>
      </c>
      <c r="AD11" s="5">
        <f>SUMIF('Shipments by country'!$B:$B,$A11,'Shipments by country'!$O:$O)</f>
        <v>0</v>
      </c>
      <c r="AE11" s="5">
        <f>IFERROR(__xludf.DUMMYFUNCTION("IFERROR( SUM( FILTER( 'Shipments by country'!$H$2:$H1023 * ( INDEX(Countries!$T$2:$T1023, MATCH('Shipments by country'!$B$2:$B1023, Countries!$A$2:$A1023, 0) ) / 1000000 ) * 'Shipments by country'!$J$2:$J1023, ('Shipments by country'!$E$2:$E1023 &lt; NOW()) "&amp;"* ('Shipments by country'!$I$2:$I1023 &gt; 0) * ('Shipments by country'!$B$2:$B1023 = $A11) ) ), 0 )"),0.0)</f>
        <v>0</v>
      </c>
      <c r="AF11" s="5">
        <f>SUMIF('Shipments by country'!$B:$B,$A11,'Shipments by country'!$P:$P)</f>
        <v>0</v>
      </c>
      <c r="AG11" s="5">
        <f>IFERROR(__xludf.DUMMYFUNCTION("IFERROR(
  SUM(
    FILTER(
      'Shipments by country'!$H$2:$H1023                                *
      INDEX(Countries!$S$2:$S1023,
            MATCH('Shipments by country'!$B$2:$B1023, Countries!$A$2:$A1023, 0)
           ) / 1000000                "&amp;"                                 *
      'Shipments by country'!$J$2:$J1023,
      ( 'Shipments by country'!$E$2:$E1023 &lt;  NOW()           )        *
      ( 'Shipments by country'!$I$2:$I1023 &gt; 0.25             )        *
      ( 'Shipments by country'!$"&amp;"B$2:$B1023 =  $A11             )
    )
  ),
  0
)
"),0.0)</f>
        <v>0</v>
      </c>
      <c r="AH11" s="5">
        <f>SUMIF('Shipments by country'!$B:$B,$A11,'Shipments by country'!$Q:$Q)</f>
        <v>0</v>
      </c>
      <c r="AI11" s="26">
        <f>IFERROR(__xludf.DUMMYFUNCTION("IFERROR(
  SUM(
    FILTER(
      'Shipments by country'!$H$2:$H1023
        * ( INDEX(Countries!$T$2:$T1023,
                 MATCH('Shipments by country'!$B$2:$B1023, Countries!$A$2:$A1023, 0)
               ) / 1000000 )
        * 'Shipments by country"&amp;"'!$J$2:$J1023,
      ('Shipments by country'!$E$2:$E1023 &lt; NOW()) *
      ('Shipments by country'!$I$2:$I1023 &gt; 0.25) *
      ('Shipments by country'!$B$2:$B1023 = $A11)
    )
  ),
  0
)
"),0.0)</f>
        <v>0</v>
      </c>
      <c r="AJ11" s="5">
        <f>SUMIF('Shipments by country'!$B:$B,$A11,'Shipments by country'!$R:$R)</f>
        <v>0</v>
      </c>
      <c r="AK11" s="26">
        <f t="shared" si="10"/>
        <v>3188451.6</v>
      </c>
      <c r="AL11" s="27">
        <f>AK11*'Vaccine pricing'!B3</f>
        <v>9533470.284</v>
      </c>
      <c r="AM11" s="28" t="str">
        <f>IF($A11="","",
 LET(
  ctry,$A11,
  ctryCol,'Shipments by country'!$B$2:$B1023,
  vaccCol,'Shipments by country'!$C$2:$C1023,
  finCol,'Shipments by country'!$D$2:$D1023,
  doseCol,'Shipments by country'!$F$2:$F1023,
  price,IFERROR(VLOOKUP(vaccCol,'Vaccine pricing'!$A$2:$B1023,2,FALSE),0),
  totCost,SUMPRODUCT((ctryCol=ctry)*doseCol*price),
  gaviCost,SUMPRODUCT((ctryCol=ctry)*(finCol="Gavi")*doseCol*price),
  IF(totCost=0,"",gaviCost/totCost)
 ))
</f>
        <v/>
      </c>
      <c r="AN11" s="24">
        <v>2.0</v>
      </c>
      <c r="AO11" s="27">
        <v>2860041.085200001</v>
      </c>
      <c r="AP11" s="24">
        <v>2053.0</v>
      </c>
      <c r="AQ11" s="29">
        <f>'Vaccine pricing'!$B$3*4/((S11/1000000)*'Vaccine efficacy curves'!$C$3)</f>
        <v>74.24629443</v>
      </c>
      <c r="AR11" s="29">
        <f>'Vaccine pricing'!$B$3*4/((T11/1000000)*'Vaccine efficacy curves'!$C$3)</f>
        <v>43937.79239</v>
      </c>
      <c r="AS11" s="24">
        <f t="shared" si="11"/>
        <v>177136.2</v>
      </c>
      <c r="AT11" s="24">
        <f t="shared" si="12"/>
        <v>708544.8</v>
      </c>
      <c r="AU11" s="30">
        <f>AT11*'Vaccine pricing'!B3</f>
        <v>2118548.952</v>
      </c>
      <c r="AV11" s="24">
        <f t="shared" si="13"/>
        <v>457601.85</v>
      </c>
      <c r="AW11" s="25">
        <f t="shared" si="14"/>
        <v>0</v>
      </c>
      <c r="AX11" s="24">
        <f t="shared" si="15"/>
        <v>457601.85</v>
      </c>
      <c r="AY11" s="25">
        <f t="shared" si="16"/>
        <v>1</v>
      </c>
      <c r="AZ11" s="24">
        <f t="shared" si="17"/>
        <v>1830407.4</v>
      </c>
      <c r="BA11" s="30">
        <f>AZ11*'Vaccine pricing'!B3</f>
        <v>5472918.126</v>
      </c>
      <c r="BB11" s="30">
        <v>1641875.4378000004</v>
      </c>
    </row>
    <row r="12" ht="22.5" customHeight="1">
      <c r="A12" s="3" t="s">
        <v>88</v>
      </c>
      <c r="B12" s="20">
        <f>SUMIFS('Shipments by country'!F:F, 
        'Shipments by country'!B:B, A12, 
        'Shipments by country'!C:C, "RTS,S", 
        'Shipments by country'!G:G, "Delivered")
</f>
        <v>0</v>
      </c>
      <c r="C12" s="4">
        <f>SUMIFS('Shipments by country'!F:F, 
        'Shipments by country'!B:B, A12, 
        'Shipments by country'!C:C, "R21", 
        'Shipments by country'!G:G, "Delivered")
</f>
        <v>2263100</v>
      </c>
      <c r="D12" s="20">
        <f t="shared" si="1"/>
        <v>2263100</v>
      </c>
      <c r="E12" s="4">
        <f>SUMIFS('Shipments by country'!F:F, 
        'Shipments by country'!B:B, A12, 
        'Shipments by country'!C:C, "RTS,S")
</f>
        <v>0</v>
      </c>
      <c r="F12" s="4">
        <f>SUMIFS('Shipments by country'!F:F, 
        'Shipments by country'!B:B, A12, 
        'Shipments by country'!C:C, "R21")
</f>
        <v>2758800</v>
      </c>
      <c r="G12" s="4">
        <f t="shared" si="2"/>
        <v>2758800</v>
      </c>
      <c r="H12" s="21" t="s">
        <v>87</v>
      </c>
      <c r="I12" s="6">
        <v>2.5E7</v>
      </c>
      <c r="J12" s="21">
        <v>3.1165654E7</v>
      </c>
      <c r="K12" s="23">
        <v>4593840.0</v>
      </c>
      <c r="L12" s="23">
        <f t="shared" si="3"/>
        <v>4134456</v>
      </c>
      <c r="M12" s="24">
        <f t="shared" si="4"/>
        <v>689700</v>
      </c>
      <c r="N12" s="25">
        <f t="shared" si="5"/>
        <v>0.1668175934</v>
      </c>
      <c r="O12" s="23">
        <f t="shared" si="6"/>
        <v>3444756</v>
      </c>
      <c r="P12" s="25">
        <f t="shared" si="7"/>
        <v>0.8331824066</v>
      </c>
      <c r="Q12" s="6">
        <v>7835921.0</v>
      </c>
      <c r="R12" s="6">
        <v>10771.0</v>
      </c>
      <c r="S12" s="24">
        <f t="shared" si="8"/>
        <v>251428.0945</v>
      </c>
      <c r="T12" s="24">
        <f t="shared" si="9"/>
        <v>345.6048123</v>
      </c>
      <c r="U12" s="5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$A12) ) ), 0 )"),136528.70419481193)</f>
        <v>136528.7042</v>
      </c>
      <c r="V12" s="5">
        <f>SUMIF('Shipments by country'!$B:$B,$A12,'Shipments by country'!$K:$K)</f>
        <v>3432.980918</v>
      </c>
      <c r="W12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$A12) ) ), 0 )"),270.83134448975795)</f>
        <v>270.8313445</v>
      </c>
      <c r="X12" s="5">
        <f>SUMIF('Shipments by country'!$B:$B,$A12,'Shipments by country'!$L:$L)</f>
        <v>80136.27803</v>
      </c>
      <c r="Y12" s="6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$A12) ) ), 0 )"),111997.28521939933)</f>
        <v>111997.2852</v>
      </c>
      <c r="Z12" s="5">
        <f>SUMIF('Shipments by country'!$B:$B,$A12,'Shipments by country'!$M:$M)</f>
        <v>2253.443962</v>
      </c>
      <c r="AA12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$A12) ) ), 0 )"),222.16848474509612)</f>
        <v>222.1684847</v>
      </c>
      <c r="AB12" s="5">
        <f>SUMIF('Shipments by country'!$B:$B,$A12,'Shipments by country'!$N:$N)</f>
        <v>52602.27663</v>
      </c>
      <c r="AC12" s="5">
        <f>IFERROR(__xludf.DUMMYFUNCTION("IFERROR( SUM( FILTER( 'Shipments by country'!$H$2:$H1023 * ( INDEX(Countries!$S$2:$S1023, MATCH('Shipments by country'!$B$2:$B1023, Countries!$A$2:$A1023, 0) ) / 1000000 ) * 'Shipments by country'!$J$2:$J1023, ('Shipments by country'!$E$2:$E1023 &lt; NOW()) "&amp;"* ('Shipments by country'!$I$2:$I1023 &gt; 0) * ('Shipments by country'!$B$2:$B1023 = $A12) ) ), 0 )"),180422.14853678868)</f>
        <v>180422.1485</v>
      </c>
      <c r="AD12" s="5">
        <f>SUMIF('Shipments by country'!$B:$B,$A12,'Shipments by country'!$O:$O)</f>
        <v>3371.308659</v>
      </c>
      <c r="AE12" s="5">
        <f>IFERROR(__xludf.DUMMYFUNCTION("IFERROR( SUM( FILTER( 'Shipments by country'!$H$2:$H1023 * ( INDEX(Countries!$T$2:$T1023, MATCH('Shipments by country'!$B$2:$B1023, Countries!$A$2:$A1023, 0) ) / 1000000 ) * 'Shipments by country'!$J$2:$J1023, ('Shipments by country'!$E$2:$E1023 &lt; NOW()) "&amp;"* ('Shipments by country'!$I$2:$I1023 &gt; 0) * ('Shipments by country'!$B$2:$B1023 = $A12) ) ), 0 )"),357.9025623375551)</f>
        <v>357.9025623</v>
      </c>
      <c r="AF12" s="5">
        <f>SUMIF('Shipments by country'!$B:$B,$A12,'Shipments by country'!$P:$P)</f>
        <v>78696.65884</v>
      </c>
      <c r="AG12" s="5">
        <f>IFERROR(__xludf.DUMMYFUNCTION("IFERROR(
  SUM(
    FILTER(
      'Shipments by country'!$H$2:$H1023                                *
      INDEX(Countries!$S$2:$S1023,
            MATCH('Shipments by country'!$B$2:$B1023, Countries!$A$2:$A1023, 0)
           ) / 1000000                "&amp;"                                 *
      'Shipments by country'!$J$2:$J1023,
      ( 'Shipments by country'!$E$2:$E1023 &lt;  NOW()           )        *
      ( 'Shipments by country'!$I$2:$I1023 &gt; 0.25             )        *
      ( 'Shipments by country'!$"&amp;"B$2:$B1023 =  $A12             )
    )
  ),
  0
)
"),147567.5695518611)</f>
        <v>147567.5696</v>
      </c>
      <c r="AH12" s="5">
        <f>SUMIF('Shipments by country'!$B:$B,$A12,'Shipments by country'!$Q:$Q)</f>
        <v>26546.85429</v>
      </c>
      <c r="AI12" s="26">
        <f>IFERROR(__xludf.DUMMYFUNCTION("IFERROR(
  SUM(
    FILTER(
      'Shipments by country'!$H$2:$H1023
        * ( INDEX(Countries!$T$2:$T1023,
                 MATCH('Shipments by country'!$B$2:$B1023, Countries!$A$2:$A1023, 0)
               ) / 1000000 )
        * 'Shipments by country"&amp;"'!$J$2:$J1023,
      ('Shipments by country'!$E$2:$E1023 &lt; NOW()) *
      ('Shipments by country'!$I$2:$I1023 &gt; 0.25) *
      ('Shipments by country'!$B$2:$B1023 = $A12)
    )
  ),
  0
)
"),292.7290894652401)</f>
        <v>292.7290895</v>
      </c>
      <c r="AJ12" s="5">
        <f>SUMIF('Shipments by country'!$B:$B,$A12,'Shipments by country'!$R:$R)</f>
        <v>36.49043521</v>
      </c>
      <c r="AK12" s="26">
        <f t="shared" si="10"/>
        <v>13779024</v>
      </c>
      <c r="AL12" s="27">
        <f>AK12*'Vaccine pricing'!B3</f>
        <v>41199281.76</v>
      </c>
      <c r="AM12" s="28">
        <f>IF($A12="","",
 LET(
  ctry,$A12,
  ctryCol,'Shipments by country'!$B$2:$B1023,
  vaccCol,'Shipments by country'!$C$2:$C1023,
  finCol,'Shipments by country'!$D$2:$D1023,
  doseCol,'Shipments by country'!$F$2:$F1023,
  price,IFERROR(VLOOKUP(vaccCol,'Vaccine pricing'!$A$2:$B1023,2,FALSE),0),
  totCost,SUMPRODUCT((ctryCol=ctry)*doseCol*price),
  gaviCost,SUMPRODUCT((ctryCol=ctry)*(finCol="Gavi")*doseCol*price),
  IF(totCost=0,"",gaviCost/totCost)
 ))
</f>
        <v>0.747353922</v>
      </c>
      <c r="AN12" s="24">
        <v>4.0</v>
      </c>
      <c r="AO12" s="27">
        <v>2.0599640880000003E7</v>
      </c>
      <c r="AP12" s="24">
        <v>2580.0</v>
      </c>
      <c r="AQ12" s="29">
        <f>'Vaccine pricing'!$B$3*4/((S12/1000000)*'Vaccine efficacy curves'!$C$3)</f>
        <v>63.42436272</v>
      </c>
      <c r="AR12" s="29">
        <f>'Vaccine pricing'!$B$3*4/((T12/1000000)*'Vaccine efficacy curves'!$C$3)</f>
        <v>46141.33282</v>
      </c>
      <c r="AS12" s="24">
        <f t="shared" si="11"/>
        <v>918768</v>
      </c>
      <c r="AT12" s="24">
        <f t="shared" si="12"/>
        <v>3675072</v>
      </c>
      <c r="AU12" s="30">
        <f>AT12*'Vaccine pricing'!B3</f>
        <v>10988465.28</v>
      </c>
      <c r="AV12" s="24">
        <f t="shared" si="13"/>
        <v>2373484</v>
      </c>
      <c r="AW12" s="25">
        <f t="shared" si="14"/>
        <v>0.2905854853</v>
      </c>
      <c r="AX12" s="24">
        <f t="shared" si="15"/>
        <v>1683784</v>
      </c>
      <c r="AY12" s="25">
        <f t="shared" si="16"/>
        <v>0.7094145147</v>
      </c>
      <c r="AZ12" s="24">
        <f t="shared" si="17"/>
        <v>6735136</v>
      </c>
      <c r="BA12" s="30">
        <f>AZ12*'Vaccine pricing'!B3</f>
        <v>20138056.64</v>
      </c>
      <c r="BB12" s="30">
        <v>1.006902832E7</v>
      </c>
    </row>
    <row r="13" ht="22.5" customHeight="1">
      <c r="A13" s="3" t="s">
        <v>89</v>
      </c>
      <c r="B13" s="20">
        <f>SUMIFS('Shipments by country'!F:F, 
        'Shipments by country'!B:B, A13, 
        'Shipments by country'!C:C, "RTS,S", 
        'Shipments by country'!G:G, "Delivered")
</f>
        <v>0</v>
      </c>
      <c r="C13" s="4">
        <f>SUMIFS('Shipments by country'!F:F, 
        'Shipments by country'!B:B, A13, 
        'Shipments by country'!C:C, "R21", 
        'Shipments by country'!G:G, "Delivered")
</f>
        <v>0</v>
      </c>
      <c r="D13" s="20">
        <f t="shared" si="1"/>
        <v>0</v>
      </c>
      <c r="E13" s="4">
        <f>SUMIFS('Shipments by country'!F:F, 
        'Shipments by country'!B:B, A13, 
        'Shipments by country'!C:C, "RTS,S")
</f>
        <v>0</v>
      </c>
      <c r="F13" s="4">
        <f>SUMIFS('Shipments by country'!F:F, 
        'Shipments by country'!B:B, A13, 
        'Shipments by country'!C:C, "R21")
</f>
        <v>0</v>
      </c>
      <c r="G13" s="4">
        <f t="shared" si="2"/>
        <v>0</v>
      </c>
      <c r="H13" s="21" t="s">
        <v>87</v>
      </c>
      <c r="I13" s="6">
        <v>0.0</v>
      </c>
      <c r="J13" s="21">
        <v>864614.0</v>
      </c>
      <c r="K13" s="23">
        <v>114506.0</v>
      </c>
      <c r="L13" s="23">
        <f t="shared" si="3"/>
        <v>103055.4</v>
      </c>
      <c r="M13" s="24">
        <f t="shared" si="4"/>
        <v>0</v>
      </c>
      <c r="N13" s="25">
        <f t="shared" si="5"/>
        <v>0</v>
      </c>
      <c r="O13" s="23">
        <f t="shared" si="6"/>
        <v>103055.4</v>
      </c>
      <c r="P13" s="25">
        <f t="shared" si="7"/>
        <v>1</v>
      </c>
      <c r="Q13" s="6">
        <v>38944.0</v>
      </c>
      <c r="R13" s="6">
        <v>80.0</v>
      </c>
      <c r="S13" s="24">
        <f t="shared" si="8"/>
        <v>45042.06501</v>
      </c>
      <c r="T13" s="24">
        <f t="shared" si="9"/>
        <v>92.52683857</v>
      </c>
      <c r="U13" s="5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$A13) ) ), 0 )"),0.0)</f>
        <v>0</v>
      </c>
      <c r="V13" s="5">
        <f>SUMIF('Shipments by country'!$B:$B,$A13,'Shipments by country'!$K:$K)</f>
        <v>0</v>
      </c>
      <c r="W13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$A13) ) ), 0 )"),0.0)</f>
        <v>0</v>
      </c>
      <c r="X13" s="5">
        <f>SUMIF('Shipments by country'!$B:$B,$A13,'Shipments by country'!$L:$L)</f>
        <v>0</v>
      </c>
      <c r="Y13" s="6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$A13) ) ), 0 )"),0.0)</f>
        <v>0</v>
      </c>
      <c r="Z13" s="5">
        <f>SUMIF('Shipments by country'!$B:$B,$A13,'Shipments by country'!$M:$M)</f>
        <v>0</v>
      </c>
      <c r="AA13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$A13) ) ), 0 )"),0.0)</f>
        <v>0</v>
      </c>
      <c r="AB13" s="5">
        <f>SUMIF('Shipments by country'!$B:$B,$A13,'Shipments by country'!$N:$N)</f>
        <v>0</v>
      </c>
      <c r="AC13" s="5">
        <f>IFERROR(__xludf.DUMMYFUNCTION("IFERROR( SUM( FILTER( 'Shipments by country'!$H$2:$H1023 * ( INDEX(Countries!$S$2:$S1023, MATCH('Shipments by country'!$B$2:$B1023, Countries!$A$2:$A1023, 0) ) / 1000000 ) * 'Shipments by country'!$J$2:$J1023, ('Shipments by country'!$E$2:$E1023 &lt; NOW()) "&amp;"* ('Shipments by country'!$I$2:$I1023 &gt; 0) * ('Shipments by country'!$B$2:$B1023 = $A13) ) ), 0 )"),0.0)</f>
        <v>0</v>
      </c>
      <c r="AD13" s="5">
        <f>SUMIF('Shipments by country'!$B:$B,$A13,'Shipments by country'!$O:$O)</f>
        <v>0</v>
      </c>
      <c r="AE13" s="5">
        <f>IFERROR(__xludf.DUMMYFUNCTION("IFERROR( SUM( FILTER( 'Shipments by country'!$H$2:$H1023 * ( INDEX(Countries!$T$2:$T1023, MATCH('Shipments by country'!$B$2:$B1023, Countries!$A$2:$A1023, 0) ) / 1000000 ) * 'Shipments by country'!$J$2:$J1023, ('Shipments by country'!$E$2:$E1023 &lt; NOW()) "&amp;"* ('Shipments by country'!$I$2:$I1023 &gt; 0) * ('Shipments by country'!$B$2:$B1023 = $A13) ) ), 0 )"),0.0)</f>
        <v>0</v>
      </c>
      <c r="AF13" s="5">
        <f>SUMIF('Shipments by country'!$B:$B,$A13,'Shipments by country'!$P:$P)</f>
        <v>0</v>
      </c>
      <c r="AG13" s="5">
        <f>IFERROR(__xludf.DUMMYFUNCTION("IFERROR(
  SUM(
    FILTER(
      'Shipments by country'!$H$2:$H1023                                *
      INDEX(Countries!$S$2:$S1023,
            MATCH('Shipments by country'!$B$2:$B1023, Countries!$A$2:$A1023, 0)
           ) / 1000000                "&amp;"                                 *
      'Shipments by country'!$J$2:$J1023,
      ( 'Shipments by country'!$E$2:$E1023 &lt;  NOW()           )        *
      ( 'Shipments by country'!$I$2:$I1023 &gt; 0.25             )        *
      ( 'Shipments by country'!$"&amp;"B$2:$B1023 =  $A13             )
    )
  ),
  0
)
"),0.0)</f>
        <v>0</v>
      </c>
      <c r="AH13" s="5">
        <f>SUMIF('Shipments by country'!$B:$B,$A13,'Shipments by country'!$Q:$Q)</f>
        <v>0</v>
      </c>
      <c r="AI13" s="26">
        <f>IFERROR(__xludf.DUMMYFUNCTION("IFERROR(
  SUM(
    FILTER(
      'Shipments by country'!$H$2:$H1023
        * ( INDEX(Countries!$T$2:$T1023,
                 MATCH('Shipments by country'!$B$2:$B1023, Countries!$A$2:$A1023, 0)
               ) / 1000000 )
        * 'Shipments by country"&amp;"'!$J$2:$J1023,
      ('Shipments by country'!$E$2:$E1023 &lt; NOW()) *
      ('Shipments by country'!$I$2:$I1023 &gt; 0.25) *
      ('Shipments by country'!$B$2:$B1023 = $A13)
    )
  ),
  0
)
"),0.0)</f>
        <v>0</v>
      </c>
      <c r="AJ13" s="5">
        <f>SUMIF('Shipments by country'!$B:$B,$A13,'Shipments by country'!$R:$R)</f>
        <v>0</v>
      </c>
      <c r="AK13" s="26">
        <f t="shared" si="10"/>
        <v>412221.6</v>
      </c>
      <c r="AL13" s="27">
        <f>AK13*'Vaccine pricing'!B3</f>
        <v>1232542.584</v>
      </c>
      <c r="AM13" s="28" t="str">
        <f>IF($A13="","",
 LET(
  ctry,$A13,
  ctryCol,'Shipments by country'!$B$2:$B1023,
  vaccCol,'Shipments by country'!$C$2:$C1023,
  finCol,'Shipments by country'!$D$2:$D1023,
  doseCol,'Shipments by country'!$F$2:$F1023,
  price,IFERROR(VLOOKUP(vaccCol,'Vaccine pricing'!$A$2:$B1023,2,FALSE),0),
  totCost,SUMPRODUCT((ctryCol=ctry)*doseCol*price),
  gaviCost,SUMPRODUCT((ctryCol=ctry)*(finCol="Gavi")*doseCol*price),
  IF(totCost=0,"",gaviCost/totCost)
 ))
</f>
        <v/>
      </c>
      <c r="AN13" s="24">
        <v>4.0</v>
      </c>
      <c r="AO13" s="27">
        <v>616271.2920000001</v>
      </c>
      <c r="AP13" s="24">
        <v>3310.0</v>
      </c>
      <c r="AQ13" s="29">
        <f>'Vaccine pricing'!$B$3*4/((S13/1000000)*'Vaccine efficacy curves'!$C$3)</f>
        <v>354.0394221</v>
      </c>
      <c r="AR13" s="29">
        <f>'Vaccine pricing'!$B$3*4/((T13/1000000)*'Vaccine efficacy curves'!$C$3)</f>
        <v>172346.3907</v>
      </c>
      <c r="AS13" s="24">
        <f t="shared" si="11"/>
        <v>22901.2</v>
      </c>
      <c r="AT13" s="24">
        <f t="shared" si="12"/>
        <v>91604.8</v>
      </c>
      <c r="AU13" s="30">
        <f>AT13*'Vaccine pricing'!B3</f>
        <v>273898.352</v>
      </c>
      <c r="AV13" s="24">
        <f t="shared" si="13"/>
        <v>59161.43333</v>
      </c>
      <c r="AW13" s="25">
        <f t="shared" si="14"/>
        <v>0</v>
      </c>
      <c r="AX13" s="24">
        <f t="shared" si="15"/>
        <v>59161.43333</v>
      </c>
      <c r="AY13" s="25">
        <f t="shared" si="16"/>
        <v>1</v>
      </c>
      <c r="AZ13" s="24">
        <f t="shared" si="17"/>
        <v>236645.7333</v>
      </c>
      <c r="BA13" s="30">
        <f>AZ13*'Vaccine pricing'!B3</f>
        <v>707570.7427</v>
      </c>
      <c r="BB13" s="30">
        <v>353785.3713333334</v>
      </c>
    </row>
    <row r="14" ht="22.5" customHeight="1">
      <c r="A14" s="3" t="s">
        <v>90</v>
      </c>
      <c r="B14" s="20">
        <f>SUMIFS('Shipments by country'!F:F, 
        'Shipments by country'!B:B, A14, 
        'Shipments by country'!C:C, "RTS,S", 
        'Shipments by country'!G:G, "Delivered")
</f>
        <v>0</v>
      </c>
      <c r="C14" s="4">
        <f>SUMIFS('Shipments by country'!F:F, 
        'Shipments by country'!B:B, A14, 
        'Shipments by country'!C:C, "R21", 
        'Shipments by country'!G:G, "Delivered")
</f>
        <v>5137800</v>
      </c>
      <c r="D14" s="20">
        <f t="shared" si="1"/>
        <v>5137800</v>
      </c>
      <c r="E14" s="4">
        <f>SUMIFS('Shipments by country'!F:F, 
        'Shipments by country'!B:B, A14, 
        'Shipments by country'!C:C, "RTS,S")
</f>
        <v>0</v>
      </c>
      <c r="F14" s="4">
        <f>SUMIFS('Shipments by country'!F:F, 
        'Shipments by country'!B:B, A14, 
        'Shipments by country'!C:C, "R21")
</f>
        <v>10000500</v>
      </c>
      <c r="G14" s="4">
        <f t="shared" si="2"/>
        <v>10000500</v>
      </c>
      <c r="H14" s="21" t="s">
        <v>80</v>
      </c>
      <c r="I14" s="6">
        <v>5.45E7</v>
      </c>
      <c r="J14" s="21">
        <v>1.05789731E8</v>
      </c>
      <c r="K14" s="23">
        <v>1.9275876E7</v>
      </c>
      <c r="L14" s="23">
        <f t="shared" si="3"/>
        <v>17348288.4</v>
      </c>
      <c r="M14" s="24">
        <f t="shared" si="4"/>
        <v>2500125</v>
      </c>
      <c r="N14" s="25">
        <f t="shared" si="5"/>
        <v>0.1441136406</v>
      </c>
      <c r="O14" s="23">
        <f t="shared" si="6"/>
        <v>14848163.4</v>
      </c>
      <c r="P14" s="25">
        <f t="shared" si="7"/>
        <v>0.8558863594</v>
      </c>
      <c r="Q14" s="6">
        <v>3.3140568E7</v>
      </c>
      <c r="R14" s="6">
        <v>67464.0</v>
      </c>
      <c r="S14" s="24">
        <f t="shared" si="8"/>
        <v>313268.2888</v>
      </c>
      <c r="T14" s="24">
        <f t="shared" si="9"/>
        <v>637.7178518</v>
      </c>
      <c r="U14" s="5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$A14) ) ), 0 )"),353238.5764831552)</f>
        <v>353238.5765</v>
      </c>
      <c r="V14" s="5">
        <f>SUMIF('Shipments by country'!$B:$B,$A14,'Shipments by country'!$K:$K)</f>
        <v>57401.40875</v>
      </c>
      <c r="W14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$A14) ) ), 0 )"),700.7176927283581)</f>
        <v>700.7176927</v>
      </c>
      <c r="X14" s="5">
        <f>SUMIF('Shipments by country'!$B:$B,$A14,'Shipments by country'!$L:$L)</f>
        <v>266542.7649</v>
      </c>
      <c r="Y14" s="6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$A14) ) ), 0 )"),254261.6994389244)</f>
        <v>254261.6994</v>
      </c>
      <c r="Z14" s="5">
        <f>SUMIF('Shipments by country'!$B:$B,$A14,'Shipments by country'!$M:$M)</f>
        <v>38073.55727</v>
      </c>
      <c r="AA14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$A14) ) ), 0 )"),504.3777300708563)</f>
        <v>504.3777301</v>
      </c>
      <c r="AB14" s="5">
        <f>SUMIF('Shipments by country'!$B:$B,$A14,'Shipments by country'!$N:$N)</f>
        <v>176794.1144</v>
      </c>
      <c r="AC14" s="5">
        <f>IFERROR(__xludf.DUMMYFUNCTION("IFERROR( SUM( FILTER( 'Shipments by country'!$H$2:$H1023 * ( INDEX(Countries!$S$2:$S1023, MATCH('Shipments by country'!$B$2:$B1023, Countries!$A$2:$A1023, 0) ) / 1000000 ) * 'Shipments by country'!$J$2:$J1023, ('Shipments by country'!$E$2:$E1023 &lt; NOW()) "&amp;"* ('Shipments by country'!$I$2:$I1023 &gt; 0) * ('Shipments by country'!$B$2:$B1023 = $A14) ) ), 0 )"),470592.1062723384)</f>
        <v>470592.1063</v>
      </c>
      <c r="AD14" s="5">
        <f>SUMIF('Shipments by country'!$B:$B,$A14,'Shipments by country'!$O:$O)</f>
        <v>57004.55254</v>
      </c>
      <c r="AE14" s="5">
        <f>IFERROR(__xludf.DUMMYFUNCTION("IFERROR( SUM( FILTER( 'Shipments by country'!$H$2:$H1023 * ( INDEX(Countries!$T$2:$T1023, MATCH('Shipments by country'!$B$2:$B1023, Countries!$A$2:$A1023, 0) ) / 1000000 ) * 'Shipments by country'!$J$2:$J1023, ('Shipments by country'!$E$2:$E1023 &lt; NOW()) "&amp;"* ('Shipments by country'!$I$2:$I1023 &gt; 0) * ('Shipments by country'!$B$2:$B1023 = $A14) ) ), 0 )"),933.5113344820537)</f>
        <v>933.5113345</v>
      </c>
      <c r="AF14" s="5">
        <f>SUMIF('Shipments by country'!$B:$B,$A14,'Shipments by country'!$P:$P)</f>
        <v>264699.9678</v>
      </c>
      <c r="AG14" s="5">
        <f>IFERROR(__xludf.DUMMYFUNCTION("IFERROR(
  SUM(
    FILTER(
      'Shipments by country'!$H$2:$H1023                                *
      INDEX(Countries!$S$2:$S1023,
            MATCH('Shipments by country'!$B$2:$B1023, Countries!$A$2:$A1023, 0)
           ) / 1000000                "&amp;"                                 *
      'Shipments by country'!$J$2:$J1023,
      ( 'Shipments by country'!$E$2:$E1023 &lt;  NOW()           )        *
      ( 'Shipments by country'!$I$2:$I1023 &gt; 0.25             )        *
      ( 'Shipments by country'!$"&amp;"B$2:$B1023 =  $A14             )
    )
  ),
  0
)
"),338033.7888023865)</f>
        <v>338033.7888</v>
      </c>
      <c r="AH14" s="5">
        <f>SUMIF('Shipments by country'!$B:$B,$A14,'Shipments by country'!$Q:$Q)</f>
        <v>88657.54336</v>
      </c>
      <c r="AI14" s="26">
        <f>IFERROR(__xludf.DUMMYFUNCTION("IFERROR(
  SUM(
    FILTER(
      'Shipments by country'!$H$2:$H1023
        * ( INDEX(Countries!$T$2:$T1023,
                 MATCH('Shipments by country'!$B$2:$B1023, Countries!$A$2:$A1023, 0)
               ) / 1000000 )
        * 'Shipments by country"&amp;"'!$J$2:$J1023,
      ('Shipments by country'!$E$2:$E1023 &lt; NOW()) *
      ('Shipments by country'!$I$2:$I1023 &gt; 0.25) *
      ('Shipments by country'!$B$2:$B1023 = $A14)
    )
  ),
  0
)
"),670.556027351471)</f>
        <v>670.5560274</v>
      </c>
      <c r="AJ14" s="5">
        <f>SUMIF('Shipments by country'!$B:$B,$A14,'Shipments by country'!$R:$R)</f>
        <v>180.4794808</v>
      </c>
      <c r="AK14" s="26">
        <f t="shared" si="10"/>
        <v>59392653.6</v>
      </c>
      <c r="AL14" s="27">
        <f>AK14*'Vaccine pricing'!B3</f>
        <v>177584034.3</v>
      </c>
      <c r="AM14" s="28">
        <f>IF($A14="","",
 LET(
  ctry,$A14,
  ctryCol,'Shipments by country'!$B$2:$B1023,
  vaccCol,'Shipments by country'!$C$2:$C1023,
  finCol,'Shipments by country'!$D$2:$D1023,
  doseCol,'Shipments by country'!$F$2:$F1023,
  price,IFERROR(VLOOKUP(vaccCol,'Vaccine pricing'!$A$2:$B1023,2,FALSE),0),
  totCost,SUMPRODUCT((ctryCol=ctry)*doseCol*price),
  gaviCost,SUMPRODUCT((ctryCol=ctry)*(finCol="Gavi")*doseCol*price),
  IF(totCost=0,"",gaviCost/totCost)
 ))
</f>
        <v>0.9511624419</v>
      </c>
      <c r="AN14" s="24">
        <v>11.0</v>
      </c>
      <c r="AO14" s="27">
        <v>1.1878530720000003E7</v>
      </c>
      <c r="AP14" s="24">
        <v>610.0</v>
      </c>
      <c r="AQ14" s="29">
        <f>'Vaccine pricing'!$B$3*4/((S14/1000000)*'Vaccine efficacy curves'!$C$3)</f>
        <v>50.90418417</v>
      </c>
      <c r="AR14" s="29">
        <f>'Vaccine pricing'!$B$3*4/((T14/1000000)*'Vaccine efficacy curves'!$C$3)</f>
        <v>25005.83388</v>
      </c>
      <c r="AS14" s="24">
        <f t="shared" si="11"/>
        <v>3855175.2</v>
      </c>
      <c r="AT14" s="24">
        <f t="shared" si="12"/>
        <v>15420700.8</v>
      </c>
      <c r="AU14" s="30">
        <f>AT14*'Vaccine pricing'!B3</f>
        <v>46107895.39</v>
      </c>
      <c r="AV14" s="24">
        <f t="shared" si="13"/>
        <v>9959202.6</v>
      </c>
      <c r="AW14" s="25">
        <f t="shared" si="14"/>
        <v>0.2510366643</v>
      </c>
      <c r="AX14" s="24">
        <f t="shared" si="15"/>
        <v>7459077.6</v>
      </c>
      <c r="AY14" s="25">
        <f t="shared" si="16"/>
        <v>0.7489633357</v>
      </c>
      <c r="AZ14" s="24">
        <f t="shared" si="17"/>
        <v>29836310.4</v>
      </c>
      <c r="BA14" s="30">
        <f>AZ14*'Vaccine pricing'!B3</f>
        <v>89210568.1</v>
      </c>
      <c r="BB14" s="30">
        <v>5967262.08</v>
      </c>
    </row>
    <row r="15" ht="22.5" customHeight="1">
      <c r="A15" s="3" t="s">
        <v>91</v>
      </c>
      <c r="B15" s="20">
        <f>SUMIFS('Shipments by country'!F:F, 
        'Shipments by country'!B:B, A15, 
        'Shipments by country'!C:C, "RTS,S", 
        'Shipments by country'!G:G, "Delivered")
</f>
        <v>0</v>
      </c>
      <c r="C15" s="4">
        <f>SUMIFS('Shipments by country'!F:F, 
        'Shipments by country'!B:B, A15, 
        'Shipments by country'!C:C, "R21", 
        'Shipments by country'!G:G, "Delivered")
</f>
        <v>0</v>
      </c>
      <c r="D15" s="20">
        <f t="shared" si="1"/>
        <v>0</v>
      </c>
      <c r="E15" s="4">
        <f>SUMIFS('Shipments by country'!F:F, 
        'Shipments by country'!B:B, A15, 
        'Shipments by country'!C:C, "RTS,S")
</f>
        <v>0</v>
      </c>
      <c r="F15" s="4">
        <f>SUMIFS('Shipments by country'!F:F, 
        'Shipments by country'!B:B, A15, 
        'Shipments by country'!C:C, "R21")
</f>
        <v>0</v>
      </c>
      <c r="G15" s="4">
        <f t="shared" si="2"/>
        <v>0</v>
      </c>
      <c r="H15" s="21" t="s">
        <v>76</v>
      </c>
      <c r="I15" s="6">
        <v>0.0</v>
      </c>
      <c r="J15" s="21">
        <v>1847549.0</v>
      </c>
      <c r="K15" s="23">
        <v>252431.0</v>
      </c>
      <c r="L15" s="23">
        <f t="shared" si="3"/>
        <v>227187.9</v>
      </c>
      <c r="M15" s="24">
        <f t="shared" si="4"/>
        <v>0</v>
      </c>
      <c r="N15" s="25">
        <f t="shared" si="5"/>
        <v>0</v>
      </c>
      <c r="O15" s="23">
        <f t="shared" si="6"/>
        <v>227187.9</v>
      </c>
      <c r="P15" s="25">
        <f t="shared" si="7"/>
        <v>1</v>
      </c>
      <c r="Q15" s="6">
        <v>422756.0</v>
      </c>
      <c r="R15" s="6">
        <v>757.0</v>
      </c>
      <c r="S15" s="24">
        <f t="shared" si="8"/>
        <v>228819.9122</v>
      </c>
      <c r="T15" s="24">
        <f t="shared" si="9"/>
        <v>409.7320288</v>
      </c>
      <c r="U15" s="5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$A15) ) ), 0 )"),0.0)</f>
        <v>0</v>
      </c>
      <c r="V15" s="5">
        <f>SUMIF('Shipments by country'!$B:$B,$A15,'Shipments by country'!$K:$K)</f>
        <v>0</v>
      </c>
      <c r="W15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$A15) ) ), 0 )"),0.0)</f>
        <v>0</v>
      </c>
      <c r="X15" s="5">
        <f>SUMIF('Shipments by country'!$B:$B,$A15,'Shipments by country'!$L:$L)</f>
        <v>0</v>
      </c>
      <c r="Y15" s="6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$A15) ) ), 0 )"),0.0)</f>
        <v>0</v>
      </c>
      <c r="Z15" s="5">
        <f>SUMIF('Shipments by country'!$B:$B,$A15,'Shipments by country'!$M:$M)</f>
        <v>0</v>
      </c>
      <c r="AA15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$A15) ) ), 0 )"),0.0)</f>
        <v>0</v>
      </c>
      <c r="AB15" s="5">
        <f>SUMIF('Shipments by country'!$B:$B,$A15,'Shipments by country'!$N:$N)</f>
        <v>0</v>
      </c>
      <c r="AC15" s="5">
        <f>IFERROR(__xludf.DUMMYFUNCTION("IFERROR( SUM( FILTER( 'Shipments by country'!$H$2:$H1023 * ( INDEX(Countries!$S$2:$S1023, MATCH('Shipments by country'!$B$2:$B1023, Countries!$A$2:$A1023, 0) ) / 1000000 ) * 'Shipments by country'!$J$2:$J1023, ('Shipments by country'!$E$2:$E1023 &lt; NOW()) "&amp;"* ('Shipments by country'!$I$2:$I1023 &gt; 0) * ('Shipments by country'!$B$2:$B1023 = $A15) ) ), 0 )"),0.0)</f>
        <v>0</v>
      </c>
      <c r="AD15" s="5">
        <f>SUMIF('Shipments by country'!$B:$B,$A15,'Shipments by country'!$O:$O)</f>
        <v>0</v>
      </c>
      <c r="AE15" s="5">
        <f>IFERROR(__xludf.DUMMYFUNCTION("IFERROR( SUM( FILTER( 'Shipments by country'!$H$2:$H1023 * ( INDEX(Countries!$T$2:$T1023, MATCH('Shipments by country'!$B$2:$B1023, Countries!$A$2:$A1023, 0) ) / 1000000 ) * 'Shipments by country'!$J$2:$J1023, ('Shipments by country'!$E$2:$E1023 &lt; NOW()) "&amp;"* ('Shipments by country'!$I$2:$I1023 &gt; 0) * ('Shipments by country'!$B$2:$B1023 = $A15) ) ), 0 )"),0.0)</f>
        <v>0</v>
      </c>
      <c r="AF15" s="5">
        <f>SUMIF('Shipments by country'!$B:$B,$A15,'Shipments by country'!$P:$P)</f>
        <v>0</v>
      </c>
      <c r="AG15" s="5">
        <f>IFERROR(__xludf.DUMMYFUNCTION("IFERROR(
  SUM(
    FILTER(
      'Shipments by country'!$H$2:$H1023                                *
      INDEX(Countries!$S$2:$S1023,
            MATCH('Shipments by country'!$B$2:$B1023, Countries!$A$2:$A1023, 0)
           ) / 1000000                "&amp;"                                 *
      'Shipments by country'!$J$2:$J1023,
      ( 'Shipments by country'!$E$2:$E1023 &lt;  NOW()           )        *
      ( 'Shipments by country'!$I$2:$I1023 &gt; 0.25             )        *
      ( 'Shipments by country'!$"&amp;"B$2:$B1023 =  $A15             )
    )
  ),
  0
)
"),0.0)</f>
        <v>0</v>
      </c>
      <c r="AH15" s="5">
        <f>SUMIF('Shipments by country'!$B:$B,$A15,'Shipments by country'!$Q:$Q)</f>
        <v>0</v>
      </c>
      <c r="AI15" s="26">
        <f>IFERROR(__xludf.DUMMYFUNCTION("IFERROR(
  SUM(
    FILTER(
      'Shipments by country'!$H$2:$H1023
        * ( INDEX(Countries!$T$2:$T1023,
                 MATCH('Shipments by country'!$B$2:$B1023, Countries!$A$2:$A1023, 0)
               ) / 1000000 )
        * 'Shipments by country"&amp;"'!$J$2:$J1023,
      ('Shipments by country'!$E$2:$E1023 &lt; NOW()) *
      ('Shipments by country'!$I$2:$I1023 &gt; 0.25) *
      ('Shipments by country'!$B$2:$B1023 = $A15)
    )
  ),
  0
)
"),0.0)</f>
        <v>0</v>
      </c>
      <c r="AJ15" s="5">
        <f>SUMIF('Shipments by country'!$B:$B,$A15,'Shipments by country'!$R:$R)</f>
        <v>0</v>
      </c>
      <c r="AK15" s="26">
        <f t="shared" si="10"/>
        <v>908751.6</v>
      </c>
      <c r="AL15" s="27">
        <f>AK15*'Vaccine pricing'!B3</f>
        <v>2717167.284</v>
      </c>
      <c r="AM15" s="28" t="str">
        <f>IF($A15="","",
 LET(
  ctry,$A15,
  ctryCol,'Shipments by country'!$B$2:$B1023,
  vaccCol,'Shipments by country'!$C$2:$C1023,
  finCol,'Shipments by country'!$D$2:$D1023,
  doseCol,'Shipments by country'!$F$2:$F1023,
  price,IFERROR(VLOOKUP(vaccCol,'Vaccine pricing'!$A$2:$B1023,2,FALSE),0),
  totCost,SUMPRODUCT((ctryCol=ctry)*doseCol*price),
  gaviCost,SUMPRODUCT((ctryCol=ctry)*(finCol="Gavi")*doseCol*price),
  IF(totCost=0,"",gaviCost/totCost)
 ))
</f>
        <v/>
      </c>
      <c r="AN15" s="24" t="s">
        <v>77</v>
      </c>
      <c r="AO15" s="30" t="s">
        <v>78</v>
      </c>
      <c r="AP15" s="24" t="s">
        <v>77</v>
      </c>
      <c r="AQ15" s="29">
        <f>'Vaccine pricing'!$B$3*4/((S15/1000000)*'Vaccine efficacy curves'!$C$3)</f>
        <v>69.69090457</v>
      </c>
      <c r="AR15" s="29">
        <f>'Vaccine pricing'!$B$3*4/((T15/1000000)*'Vaccine efficacy curves'!$C$3)</f>
        <v>38919.74644</v>
      </c>
      <c r="AS15" s="24">
        <f t="shared" si="11"/>
        <v>50486.2</v>
      </c>
      <c r="AT15" s="24">
        <f t="shared" si="12"/>
        <v>201944.8</v>
      </c>
      <c r="AU15" s="30">
        <f>AT15*'Vaccine pricing'!B3</f>
        <v>603814.952</v>
      </c>
      <c r="AV15" s="24">
        <f t="shared" si="13"/>
        <v>130422.6833</v>
      </c>
      <c r="AW15" s="25">
        <f t="shared" si="14"/>
        <v>0</v>
      </c>
      <c r="AX15" s="24">
        <f t="shared" si="15"/>
        <v>130422.6833</v>
      </c>
      <c r="AY15" s="25">
        <f t="shared" si="16"/>
        <v>1</v>
      </c>
      <c r="AZ15" s="24">
        <f t="shared" si="17"/>
        <v>521690.7333</v>
      </c>
      <c r="BA15" s="30">
        <f>AZ15*'Vaccine pricing'!B3</f>
        <v>1559855.293</v>
      </c>
      <c r="BB15" s="30" t="s">
        <v>78</v>
      </c>
    </row>
    <row r="16" ht="22.5" customHeight="1">
      <c r="A16" s="3" t="s">
        <v>92</v>
      </c>
      <c r="B16" s="20">
        <f>SUMIFS('Shipments by country'!F:F, 
        'Shipments by country'!B:B, A16, 
        'Shipments by country'!C:C, "RTS,S", 
        'Shipments by country'!G:G, "Delivered")
</f>
        <v>0</v>
      </c>
      <c r="C16" s="4">
        <f>SUMIFS('Shipments by country'!F:F, 
        'Shipments by country'!B:B, A16, 
        'Shipments by country'!C:C, "R21", 
        'Shipments by country'!G:G, "Delivered")
</f>
        <v>0</v>
      </c>
      <c r="D16" s="20">
        <f t="shared" si="1"/>
        <v>0</v>
      </c>
      <c r="E16" s="4">
        <f>SUMIFS('Shipments by country'!F:F, 
        'Shipments by country'!B:B, A16, 
        'Shipments by country'!C:C, "RTS,S")
</f>
        <v>0</v>
      </c>
      <c r="F16" s="4">
        <f>SUMIFS('Shipments by country'!F:F, 
        'Shipments by country'!B:B, A16, 
        'Shipments by country'!C:C, "R21")
</f>
        <v>0</v>
      </c>
      <c r="G16" s="4">
        <f t="shared" si="2"/>
        <v>0</v>
      </c>
      <c r="H16" s="21" t="s">
        <v>80</v>
      </c>
      <c r="I16" s="6">
        <v>0.0</v>
      </c>
      <c r="J16" s="21">
        <v>3470389.0</v>
      </c>
      <c r="K16" s="23">
        <v>461114.0</v>
      </c>
      <c r="L16" s="23">
        <f t="shared" si="3"/>
        <v>415002.6</v>
      </c>
      <c r="M16" s="24">
        <f t="shared" si="4"/>
        <v>0</v>
      </c>
      <c r="N16" s="25">
        <f t="shared" si="5"/>
        <v>0</v>
      </c>
      <c r="O16" s="23">
        <f t="shared" si="6"/>
        <v>415002.6</v>
      </c>
      <c r="P16" s="25">
        <f t="shared" si="7"/>
        <v>1</v>
      </c>
      <c r="Q16" s="6">
        <v>219981.0</v>
      </c>
      <c r="R16" s="6">
        <v>459.0</v>
      </c>
      <c r="S16" s="24">
        <f t="shared" si="8"/>
        <v>63387.99483</v>
      </c>
      <c r="T16" s="24">
        <f t="shared" si="9"/>
        <v>132.26183</v>
      </c>
      <c r="U16" s="5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$A16) ) ), 0 )"),0.0)</f>
        <v>0</v>
      </c>
      <c r="V16" s="5">
        <f>SUMIF('Shipments by country'!$B:$B,$A16,'Shipments by country'!$K:$K)</f>
        <v>0</v>
      </c>
      <c r="W16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$A16) ) ), 0 )"),0.0)</f>
        <v>0</v>
      </c>
      <c r="X16" s="5">
        <f>SUMIF('Shipments by country'!$B:$B,$A16,'Shipments by country'!$L:$L)</f>
        <v>0</v>
      </c>
      <c r="Y16" s="6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$A16) ) ), 0 )"),0.0)</f>
        <v>0</v>
      </c>
      <c r="Z16" s="5">
        <f>SUMIF('Shipments by country'!$B:$B,$A16,'Shipments by country'!$M:$M)</f>
        <v>0</v>
      </c>
      <c r="AA16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$A16) ) ), 0 )"),0.0)</f>
        <v>0</v>
      </c>
      <c r="AB16" s="5">
        <f>SUMIF('Shipments by country'!$B:$B,$A16,'Shipments by country'!$N:$N)</f>
        <v>0</v>
      </c>
      <c r="AC16" s="5">
        <f>IFERROR(__xludf.DUMMYFUNCTION("IFERROR( SUM( FILTER( 'Shipments by country'!$H$2:$H1023 * ( INDEX(Countries!$S$2:$S1023, MATCH('Shipments by country'!$B$2:$B1023, Countries!$A$2:$A1023, 0) ) / 1000000 ) * 'Shipments by country'!$J$2:$J1023, ('Shipments by country'!$E$2:$E1023 &lt; NOW()) "&amp;"* ('Shipments by country'!$I$2:$I1023 &gt; 0) * ('Shipments by country'!$B$2:$B1023 = $A16) ) ), 0 )"),0.0)</f>
        <v>0</v>
      </c>
      <c r="AD16" s="5">
        <f>SUMIF('Shipments by country'!$B:$B,$A16,'Shipments by country'!$O:$O)</f>
        <v>0</v>
      </c>
      <c r="AE16" s="5">
        <f>IFERROR(__xludf.DUMMYFUNCTION("IFERROR( SUM( FILTER( 'Shipments by country'!$H$2:$H1023 * ( INDEX(Countries!$T$2:$T1023, MATCH('Shipments by country'!$B$2:$B1023, Countries!$A$2:$A1023, 0) ) / 1000000 ) * 'Shipments by country'!$J$2:$J1023, ('Shipments by country'!$E$2:$E1023 &lt; NOW()) "&amp;"* ('Shipments by country'!$I$2:$I1023 &gt; 0) * ('Shipments by country'!$B$2:$B1023 = $A16) ) ), 0 )"),0.0)</f>
        <v>0</v>
      </c>
      <c r="AF16" s="5">
        <f>SUMIF('Shipments by country'!$B:$B,$A16,'Shipments by country'!$P:$P)</f>
        <v>0</v>
      </c>
      <c r="AG16" s="5">
        <f>IFERROR(__xludf.DUMMYFUNCTION("IFERROR(
  SUM(
    FILTER(
      'Shipments by country'!$H$2:$H1023                                *
      INDEX(Countries!$S$2:$S1023,
            MATCH('Shipments by country'!$B$2:$B1023, Countries!$A$2:$A1023, 0)
           ) / 1000000                "&amp;"                                 *
      'Shipments by country'!$J$2:$J1023,
      ( 'Shipments by country'!$E$2:$E1023 &lt;  NOW()           )        *
      ( 'Shipments by country'!$I$2:$I1023 &gt; 0.25             )        *
      ( 'Shipments by country'!$"&amp;"B$2:$B1023 =  $A16             )
    )
  ),
  0
)
"),0.0)</f>
        <v>0</v>
      </c>
      <c r="AH16" s="5">
        <f>SUMIF('Shipments by country'!$B:$B,$A16,'Shipments by country'!$Q:$Q)</f>
        <v>0</v>
      </c>
      <c r="AI16" s="26">
        <f>IFERROR(__xludf.DUMMYFUNCTION("IFERROR(
  SUM(
    FILTER(
      'Shipments by country'!$H$2:$H1023
        * ( INDEX(Countries!$T$2:$T1023,
                 MATCH('Shipments by country'!$B$2:$B1023, Countries!$A$2:$A1023, 0)
               ) / 1000000 )
        * 'Shipments by country"&amp;"'!$J$2:$J1023,
      ('Shipments by country'!$E$2:$E1023 &lt; NOW()) *
      ('Shipments by country'!$I$2:$I1023 &gt; 0.25) *
      ('Shipments by country'!$B$2:$B1023 = $A16)
    )
  ),
  0
)
"),0.0)</f>
        <v>0</v>
      </c>
      <c r="AJ16" s="5">
        <f>SUMIF('Shipments by country'!$B:$B,$A16,'Shipments by country'!$R:$R)</f>
        <v>0</v>
      </c>
      <c r="AK16" s="26">
        <f t="shared" si="10"/>
        <v>1660010.4</v>
      </c>
      <c r="AL16" s="27">
        <f>AK16*'Vaccine pricing'!B3</f>
        <v>4963431.096</v>
      </c>
      <c r="AM16" s="28" t="str">
        <f>IF($A16="","",
 LET(
  ctry,$A16,
  ctryCol,'Shipments by country'!$B$2:$B1023,
  vaccCol,'Shipments by country'!$C$2:$C1023,
  finCol,'Shipments by country'!$D$2:$D1023,
  doseCol,'Shipments by country'!$F$2:$F1023,
  price,IFERROR(VLOOKUP(vaccCol,'Vaccine pricing'!$A$2:$B1023,2,FALSE),0),
  totCost,SUMPRODUCT((ctryCol=ctry)*doseCol*price),
  gaviCost,SUMPRODUCT((ctryCol=ctry)*(finCol="Gavi")*doseCol*price),
  IF(totCost=0,"",gaviCost/totCost)
 ))
</f>
        <v/>
      </c>
      <c r="AN16" s="24">
        <v>11.0</v>
      </c>
      <c r="AO16" s="27">
        <v>332002.0800000001</v>
      </c>
      <c r="AP16" s="24" t="s">
        <v>77</v>
      </c>
      <c r="AQ16" s="29">
        <f>'Vaccine pricing'!$B$3*4/((S16/1000000)*'Vaccine efficacy curves'!$C$3)</f>
        <v>251.5723476</v>
      </c>
      <c r="AR16" s="29">
        <f>'Vaccine pricing'!$B$3*4/((T16/1000000)*'Vaccine efficacy curves'!$C$3)</f>
        <v>120568.925</v>
      </c>
      <c r="AS16" s="24">
        <f t="shared" si="11"/>
        <v>92222.8</v>
      </c>
      <c r="AT16" s="24">
        <f t="shared" si="12"/>
        <v>368891.2</v>
      </c>
      <c r="AU16" s="30">
        <f>AT16*'Vaccine pricing'!B3</f>
        <v>1102984.688</v>
      </c>
      <c r="AV16" s="24">
        <f t="shared" si="13"/>
        <v>238242.2333</v>
      </c>
      <c r="AW16" s="25">
        <f t="shared" si="14"/>
        <v>0</v>
      </c>
      <c r="AX16" s="24">
        <f t="shared" si="15"/>
        <v>238242.2333</v>
      </c>
      <c r="AY16" s="25">
        <f t="shared" si="16"/>
        <v>1</v>
      </c>
      <c r="AZ16" s="24">
        <f t="shared" si="17"/>
        <v>952968.9333</v>
      </c>
      <c r="BA16" s="30">
        <f>AZ16*'Vaccine pricing'!B3</f>
        <v>2849377.111</v>
      </c>
      <c r="BB16" s="30">
        <v>190593.78666666668</v>
      </c>
    </row>
    <row r="17" ht="22.5" customHeight="1">
      <c r="A17" s="3" t="s">
        <v>93</v>
      </c>
      <c r="B17" s="20">
        <f>SUMIFS('Shipments by country'!F:F, 
        'Shipments by country'!B:B, A17, 
        'Shipments by country'!C:C, "RTS,S", 
        'Shipments by country'!G:G, "Delivered")
</f>
        <v>0</v>
      </c>
      <c r="C17" s="4">
        <f>SUMIFS('Shipments by country'!F:F, 
        'Shipments by country'!B:B, A17, 
        'Shipments by country'!C:C, "R21", 
        'Shipments by country'!G:G, "Delivered")
</f>
        <v>0</v>
      </c>
      <c r="D17" s="20">
        <f t="shared" si="1"/>
        <v>0</v>
      </c>
      <c r="E17" s="4">
        <f>SUMIFS('Shipments by country'!F:F, 
        'Shipments by country'!B:B, A17, 
        'Shipments by country'!C:C, "RTS,S")
</f>
        <v>0</v>
      </c>
      <c r="F17" s="4">
        <f>SUMIFS('Shipments by country'!F:F, 
        'Shipments by country'!B:B, A17, 
        'Shipments by country'!C:C, "R21")
</f>
        <v>0</v>
      </c>
      <c r="G17" s="4">
        <f t="shared" si="2"/>
        <v>0</v>
      </c>
      <c r="H17" s="21" t="s">
        <v>76</v>
      </c>
      <c r="I17" s="6">
        <v>0.0</v>
      </c>
      <c r="J17" s="21">
        <v>344541.0</v>
      </c>
      <c r="K17" s="23">
        <v>142151.0</v>
      </c>
      <c r="L17" s="23">
        <f t="shared" si="3"/>
        <v>127935.9</v>
      </c>
      <c r="M17" s="24">
        <f t="shared" si="4"/>
        <v>0</v>
      </c>
      <c r="N17" s="25">
        <f t="shared" si="5"/>
        <v>0</v>
      </c>
      <c r="O17" s="23">
        <f t="shared" si="6"/>
        <v>127935.9</v>
      </c>
      <c r="P17" s="25">
        <f t="shared" si="7"/>
        <v>1</v>
      </c>
      <c r="Q17" s="6">
        <v>597.0</v>
      </c>
      <c r="R17" s="6">
        <v>7.0</v>
      </c>
      <c r="S17" s="24">
        <f t="shared" si="8"/>
        <v>1732.74008</v>
      </c>
      <c r="T17" s="24">
        <f t="shared" si="9"/>
        <v>20.31688536</v>
      </c>
      <c r="U17" s="5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$A17) ) ), 0 )"),0.0)</f>
        <v>0</v>
      </c>
      <c r="V17" s="5">
        <f>SUMIF('Shipments by country'!$B:$B,$A17,'Shipments by country'!$K:$K)</f>
        <v>0</v>
      </c>
      <c r="W17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$A17) ) ), 0 )"),0.0)</f>
        <v>0</v>
      </c>
      <c r="X17" s="5">
        <f>SUMIF('Shipments by country'!$B:$B,$A17,'Shipments by country'!$L:$L)</f>
        <v>0</v>
      </c>
      <c r="Y17" s="6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$A17) ) ), 0 )"),0.0)</f>
        <v>0</v>
      </c>
      <c r="Z17" s="5">
        <f>SUMIF('Shipments by country'!$B:$B,$A17,'Shipments by country'!$M:$M)</f>
        <v>0</v>
      </c>
      <c r="AA17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$A17) ) ), 0 )"),0.0)</f>
        <v>0</v>
      </c>
      <c r="AB17" s="5">
        <f>SUMIF('Shipments by country'!$B:$B,$A17,'Shipments by country'!$N:$N)</f>
        <v>0</v>
      </c>
      <c r="AC17" s="5">
        <f>IFERROR(__xludf.DUMMYFUNCTION("IFERROR( SUM( FILTER( 'Shipments by country'!$H$2:$H1023 * ( INDEX(Countries!$S$2:$S1023, MATCH('Shipments by country'!$B$2:$B1023, Countries!$A$2:$A1023, 0) ) / 1000000 ) * 'Shipments by country'!$J$2:$J1023, ('Shipments by country'!$E$2:$E1023 &lt; NOW()) "&amp;"* ('Shipments by country'!$I$2:$I1023 &gt; 0) * ('Shipments by country'!$B$2:$B1023 = $A17) ) ), 0 )"),0.0)</f>
        <v>0</v>
      </c>
      <c r="AD17" s="5">
        <f>SUMIF('Shipments by country'!$B:$B,$A17,'Shipments by country'!$O:$O)</f>
        <v>0</v>
      </c>
      <c r="AE17" s="5">
        <f>IFERROR(__xludf.DUMMYFUNCTION("IFERROR( SUM( FILTER( 'Shipments by country'!$H$2:$H1023 * ( INDEX(Countries!$T$2:$T1023, MATCH('Shipments by country'!$B$2:$B1023, Countries!$A$2:$A1023, 0) ) / 1000000 ) * 'Shipments by country'!$J$2:$J1023, ('Shipments by country'!$E$2:$E1023 &lt; NOW()) "&amp;"* ('Shipments by country'!$I$2:$I1023 &gt; 0) * ('Shipments by country'!$B$2:$B1023 = $A17) ) ), 0 )"),0.0)</f>
        <v>0</v>
      </c>
      <c r="AF17" s="5">
        <f>SUMIF('Shipments by country'!$B:$B,$A17,'Shipments by country'!$P:$P)</f>
        <v>0</v>
      </c>
      <c r="AG17" s="5">
        <f>IFERROR(__xludf.DUMMYFUNCTION("IFERROR(
  SUM(
    FILTER(
      'Shipments by country'!$H$2:$H1023                                *
      INDEX(Countries!$S$2:$S1023,
            MATCH('Shipments by country'!$B$2:$B1023, Countries!$A$2:$A1023, 0)
           ) / 1000000                "&amp;"                                 *
      'Shipments by country'!$J$2:$J1023,
      ( 'Shipments by country'!$E$2:$E1023 &lt;  NOW()           )        *
      ( 'Shipments by country'!$I$2:$I1023 &gt; 0.25             )        *
      ( 'Shipments by country'!$"&amp;"B$2:$B1023 =  $A17             )
    )
  ),
  0
)
"),0.0)</f>
        <v>0</v>
      </c>
      <c r="AH17" s="5">
        <f>SUMIF('Shipments by country'!$B:$B,$A17,'Shipments by country'!$Q:$Q)</f>
        <v>0</v>
      </c>
      <c r="AI17" s="26">
        <f>IFERROR(__xludf.DUMMYFUNCTION("IFERROR(
  SUM(
    FILTER(
      'Shipments by country'!$H$2:$H1023
        * ( INDEX(Countries!$T$2:$T1023,
                 MATCH('Shipments by country'!$B$2:$B1023, Countries!$A$2:$A1023, 0)
               ) / 1000000 )
        * 'Shipments by country"&amp;"'!$J$2:$J1023,
      ('Shipments by country'!$E$2:$E1023 &lt; NOW()) *
      ('Shipments by country'!$I$2:$I1023 &gt; 0.25) *
      ('Shipments by country'!$B$2:$B1023 = $A17)
    )
  ),
  0
)
"),0.0)</f>
        <v>0</v>
      </c>
      <c r="AJ17" s="5">
        <f>SUMIF('Shipments by country'!$B:$B,$A17,'Shipments by country'!$R:$R)</f>
        <v>0</v>
      </c>
      <c r="AK17" s="26">
        <f t="shared" si="10"/>
        <v>511743.6</v>
      </c>
      <c r="AL17" s="27">
        <f>AK17*'Vaccine pricing'!B3</f>
        <v>1530113.364</v>
      </c>
      <c r="AM17" s="28" t="str">
        <f>IF($A17="","",
 LET(
  ctry,$A17,
  ctryCol,'Shipments by country'!$B$2:$B1023,
  vaccCol,'Shipments by country'!$C$2:$C1023,
  finCol,'Shipments by country'!$D$2:$D1023,
  doseCol,'Shipments by country'!$F$2:$F1023,
  price,IFERROR(VLOOKUP(vaccCol,'Vaccine pricing'!$A$2:$B1023,2,FALSE),0),
  totCost,SUMPRODUCT((ctryCol=ctry)*doseCol*price),
  gaviCost,SUMPRODUCT((ctryCol=ctry)*(finCol="Gavi")*doseCol*price),
  IF(totCost=0,"",gaviCost/totCost)
 ))
</f>
        <v/>
      </c>
      <c r="AN17" s="24" t="s">
        <v>77</v>
      </c>
      <c r="AO17" s="30" t="s">
        <v>78</v>
      </c>
      <c r="AP17" s="24" t="s">
        <v>77</v>
      </c>
      <c r="AQ17" s="29">
        <f>'Vaccine pricing'!$B$3*4/((S17/1000000)*'Vaccine efficacy curves'!$C$3)</f>
        <v>9203.149883</v>
      </c>
      <c r="AR17" s="29">
        <f>'Vaccine pricing'!$B$3*4/((T17/1000000)*'Vaccine efficacy curves'!$C$3)</f>
        <v>784897.2114</v>
      </c>
      <c r="AS17" s="24">
        <f t="shared" si="11"/>
        <v>28430.2</v>
      </c>
      <c r="AT17" s="24">
        <f t="shared" si="12"/>
        <v>113720.8</v>
      </c>
      <c r="AU17" s="30">
        <f>AT17*'Vaccine pricing'!B3</f>
        <v>340025.192</v>
      </c>
      <c r="AV17" s="24">
        <f t="shared" si="13"/>
        <v>73444.68333</v>
      </c>
      <c r="AW17" s="25">
        <f t="shared" si="14"/>
        <v>0</v>
      </c>
      <c r="AX17" s="24">
        <f t="shared" si="15"/>
        <v>73444.68333</v>
      </c>
      <c r="AY17" s="25">
        <f t="shared" si="16"/>
        <v>1</v>
      </c>
      <c r="AZ17" s="24">
        <f t="shared" si="17"/>
        <v>293778.7333</v>
      </c>
      <c r="BA17" s="30">
        <f>AZ17*'Vaccine pricing'!B3</f>
        <v>878398.4127</v>
      </c>
      <c r="BB17" s="30" t="s">
        <v>78</v>
      </c>
    </row>
    <row r="18" ht="22.5" customHeight="1">
      <c r="A18" s="3" t="s">
        <v>94</v>
      </c>
      <c r="B18" s="20">
        <f>SUMIFS('Shipments by country'!F:F, 
        'Shipments by country'!B:B, A18, 
        'Shipments by country'!C:C, "RTS,S", 
        'Shipments by country'!G:G, "Delivered")
</f>
        <v>0</v>
      </c>
      <c r="C18" s="4">
        <f>SUMIFS('Shipments by country'!F:F, 
        'Shipments by country'!B:B, A18, 
        'Shipments by country'!C:C, "R21", 
        'Shipments by country'!G:G, "Delivered")
</f>
        <v>186200</v>
      </c>
      <c r="D18" s="20">
        <f t="shared" si="1"/>
        <v>186200</v>
      </c>
      <c r="E18" s="4">
        <f>SUMIFS('Shipments by country'!F:F, 
        'Shipments by country'!B:B, A18, 
        'Shipments by country'!C:C, "RTS,S")
</f>
        <v>0</v>
      </c>
      <c r="F18" s="4">
        <f>SUMIFS('Shipments by country'!F:F, 
        'Shipments by country'!B:B, A18, 
        'Shipments by country'!C:C, "R21")
</f>
        <v>186200</v>
      </c>
      <c r="G18" s="4">
        <f t="shared" si="2"/>
        <v>186200</v>
      </c>
      <c r="H18" s="21" t="s">
        <v>80</v>
      </c>
      <c r="I18" s="6">
        <v>3.6E7</v>
      </c>
      <c r="J18" s="21">
        <v>1.28691692E8</v>
      </c>
      <c r="K18" s="23">
        <v>1.9066529E7</v>
      </c>
      <c r="L18" s="23">
        <f t="shared" si="3"/>
        <v>17159876.1</v>
      </c>
      <c r="M18" s="24">
        <f t="shared" si="4"/>
        <v>46550</v>
      </c>
      <c r="N18" s="25">
        <f t="shared" si="5"/>
        <v>0.002712723549</v>
      </c>
      <c r="O18" s="23">
        <f t="shared" si="6"/>
        <v>17113326.1</v>
      </c>
      <c r="P18" s="25">
        <f t="shared" si="7"/>
        <v>0.9972872765</v>
      </c>
      <c r="Q18" s="6">
        <v>9559569.0</v>
      </c>
      <c r="R18" s="6">
        <v>18567.0</v>
      </c>
      <c r="S18" s="24">
        <f t="shared" si="8"/>
        <v>74282.7206</v>
      </c>
      <c r="T18" s="24">
        <f t="shared" si="9"/>
        <v>144.2750477</v>
      </c>
      <c r="U18" s="5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$A18) ) ), 0 )"),9214.747252817886)</f>
        <v>9214.747253</v>
      </c>
      <c r="V18" s="5">
        <f>SUMIF('Shipments by country'!$B:$B,$A18,'Shipments by country'!$K:$K)</f>
        <v>367.9315222</v>
      </c>
      <c r="W18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$A18) ) ), 0 )"),18.279250523413413)</f>
        <v>18.27925052</v>
      </c>
      <c r="X18" s="5">
        <f>SUMIF('Shipments by country'!$B:$B,$A18,'Shipments by country'!$L:$L)</f>
        <v>1472.017798</v>
      </c>
      <c r="Y18" s="6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$A18) ) ), 0 )"),9214.747252817886)</f>
        <v>9214.747253</v>
      </c>
      <c r="Z18" s="5">
        <f>SUMIF('Shipments by country'!$B:$B,$A18,'Shipments by country'!$M:$M)</f>
        <v>205.8764253</v>
      </c>
      <c r="AA18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$A18) ) ), 0 )"),18.279250523413413)</f>
        <v>18.27925052</v>
      </c>
      <c r="AB18" s="5">
        <f>SUMIF('Shipments by country'!$B:$B,$A18,'Shipments by country'!$N:$N)</f>
        <v>823.6689277</v>
      </c>
      <c r="AC18" s="5">
        <f>IFERROR(__xludf.DUMMYFUNCTION("IFERROR( SUM( FILTER( 'Shipments by country'!$H$2:$H1023 * ( INDEX(Countries!$S$2:$S1023, MATCH('Shipments by country'!$B$2:$B1023, Countries!$A$2:$A1023, 0) ) / 1000000 ) * 'Shipments by country'!$J$2:$J1023, ('Shipments by country'!$E$2:$E1023 &lt; NOW()) "&amp;"* ('Shipments by country'!$I$2:$I1023 &gt; 0) * ('Shipments by country'!$B$2:$B1023 = $A18) ) ), 0 )"),12341.179356452523)</f>
        <v>12341.17936</v>
      </c>
      <c r="AD18" s="5">
        <f>SUMIF('Shipments by country'!$B:$B,$A18,'Shipments by country'!$O:$O)</f>
        <v>367.9315222</v>
      </c>
      <c r="AE18" s="5">
        <f>IFERROR(__xludf.DUMMYFUNCTION("IFERROR( SUM( FILTER( 'Shipments by country'!$H$2:$H1023 * ( INDEX(Countries!$T$2:$T1023, MATCH('Shipments by country'!$B$2:$B1023, Countries!$A$2:$A1023, 0) ) / 1000000 ) * 'Shipments by country'!$J$2:$J1023, ('Shipments by country'!$E$2:$E1023 &lt; NOW()) "&amp;"* ('Shipments by country'!$I$2:$I1023 &gt; 0) * ('Shipments by country'!$B$2:$B1023 = $A18) ) ), 0 )"),24.48113909385725)</f>
        <v>24.48113909</v>
      </c>
      <c r="AF18" s="5">
        <f>SUMIF('Shipments by country'!$B:$B,$A18,'Shipments by country'!$P:$P)</f>
        <v>1472.017798</v>
      </c>
      <c r="AG18" s="5">
        <f>IFERROR(__xludf.DUMMYFUNCTION("IFERROR(
  SUM(
    FILTER(
      'Shipments by country'!$H$2:$H1023                                *
      INDEX(Countries!$S$2:$S1023,
            MATCH('Shipments by country'!$B$2:$B1023, Countries!$A$2:$A1023, 0)
           ) / 1000000                "&amp;"                                 *
      'Shipments by country'!$J$2:$J1023,
      ( 'Shipments by country'!$E$2:$E1023 &lt;  NOW()           )        *
      ( 'Shipments by country'!$I$2:$I1023 &gt; 0.25             )        *
      ( 'Shipments by country'!$"&amp;"B$2:$B1023 =  $A18             )
    )
  ),
  0
)
"),12341.179356452523)</f>
        <v>12341.17936</v>
      </c>
      <c r="AH18" s="5">
        <f>SUMIF('Shipments by country'!$B:$B,$A18,'Shipments by country'!$Q:$Q)</f>
        <v>648.3488707</v>
      </c>
      <c r="AI18" s="26">
        <f>IFERROR(__xludf.DUMMYFUNCTION("IFERROR(
  SUM(
    FILTER(
      'Shipments by country'!$H$2:$H1023
        * ( INDEX(Countries!$T$2:$T1023,
                 MATCH('Shipments by country'!$B$2:$B1023, Countries!$A$2:$A1023, 0)
               ) / 1000000 )
        * 'Shipments by country"&amp;"'!$J$2:$J1023,
      ('Shipments by country'!$E$2:$E1023 &lt; NOW()) *
      ('Shipments by country'!$I$2:$I1023 &gt; 0.25) *
      ('Shipments by country'!$B$2:$B1023 = $A18)
    )
  ),
  0
)
"),24.48113909385725)</f>
        <v>24.48113909</v>
      </c>
      <c r="AJ18" s="5">
        <f>SUMIF('Shipments by country'!$B:$B,$A18,'Shipments by country'!$R:$R)</f>
        <v>1.259250651</v>
      </c>
      <c r="AK18" s="26">
        <f t="shared" si="10"/>
        <v>68453304.4</v>
      </c>
      <c r="AL18" s="27">
        <f>AK18*'Vaccine pricing'!B3</f>
        <v>204675380.2</v>
      </c>
      <c r="AM18" s="28">
        <f>IF($A18="","",
 LET(
  ctry,$A18,
  ctryCol,'Shipments by country'!$B$2:$B1023,
  vaccCol,'Shipments by country'!$C$2:$C1023,
  finCol,'Shipments by country'!$D$2:$D1023,
  doseCol,'Shipments by country'!$F$2:$F1023,
  price,IFERROR(VLOOKUP(vaccCol,'Vaccine pricing'!$A$2:$B1023,2,FALSE),0),
  totCost,SUMPRODUCT((ctryCol=ctry)*doseCol*price),
  gaviCost,SUMPRODUCT((ctryCol=ctry)*(finCol="Gavi")*doseCol*price),
  IF(totCost=0,"",gaviCost/totCost)
 ))
</f>
        <v>0.9489795918</v>
      </c>
      <c r="AN18" s="24">
        <v>11.0</v>
      </c>
      <c r="AO18" s="27">
        <v>1.3690660880000003E7</v>
      </c>
      <c r="AP18" s="24">
        <v>1037.0</v>
      </c>
      <c r="AQ18" s="29">
        <f>'Vaccine pricing'!$B$3*4/((S18/1000000)*'Vaccine efficacy curves'!$C$3)</f>
        <v>214.675318</v>
      </c>
      <c r="AR18" s="29">
        <f>'Vaccine pricing'!$B$3*4/((T18/1000000)*'Vaccine efficacy curves'!$C$3)</f>
        <v>110529.6233</v>
      </c>
      <c r="AS18" s="24">
        <f t="shared" si="11"/>
        <v>3813305.8</v>
      </c>
      <c r="AT18" s="24">
        <f t="shared" si="12"/>
        <v>15253223.2</v>
      </c>
      <c r="AU18" s="30">
        <f>AT18*'Vaccine pricing'!B3</f>
        <v>45607137.37</v>
      </c>
      <c r="AV18" s="24">
        <f t="shared" si="13"/>
        <v>9851039.983</v>
      </c>
      <c r="AW18" s="25">
        <f t="shared" si="14"/>
        <v>0.004725389409</v>
      </c>
      <c r="AX18" s="24">
        <f t="shared" si="15"/>
        <v>9804489.983</v>
      </c>
      <c r="AY18" s="25">
        <f t="shared" si="16"/>
        <v>0.9952746106</v>
      </c>
      <c r="AZ18" s="24">
        <f t="shared" si="17"/>
        <v>39217959.93</v>
      </c>
      <c r="BA18" s="30">
        <f>AZ18*'Vaccine pricing'!B3</f>
        <v>117261700.2</v>
      </c>
      <c r="BB18" s="30">
        <v>7843591.986666666</v>
      </c>
    </row>
    <row r="19" ht="22.5" customHeight="1">
      <c r="A19" s="3" t="s">
        <v>95</v>
      </c>
      <c r="B19" s="20">
        <f>SUMIFS('Shipments by country'!F:F, 
        'Shipments by country'!B:B, A19, 
        'Shipments by country'!C:C, "RTS,S", 
        'Shipments by country'!G:G, "Delivered")
</f>
        <v>0</v>
      </c>
      <c r="C19" s="4">
        <f>SUMIFS('Shipments by country'!F:F, 
        'Shipments by country'!B:B, A19, 
        'Shipments by country'!C:C, "R21", 
        'Shipments by country'!G:G, "Delivered")
</f>
        <v>0</v>
      </c>
      <c r="D19" s="20">
        <f t="shared" si="1"/>
        <v>0</v>
      </c>
      <c r="E19" s="4">
        <f>SUMIFS('Shipments by country'!F:F, 
        'Shipments by country'!B:B, A19, 
        'Shipments by country'!C:C, "RTS,S")
</f>
        <v>0</v>
      </c>
      <c r="F19" s="4">
        <f>SUMIFS('Shipments by country'!F:F, 
        'Shipments by country'!B:B, A19, 
        'Shipments by country'!C:C, "R21")
</f>
        <v>0</v>
      </c>
      <c r="G19" s="4">
        <f t="shared" si="2"/>
        <v>0</v>
      </c>
      <c r="H19" s="21" t="s">
        <v>76</v>
      </c>
      <c r="I19" s="6">
        <v>0.0</v>
      </c>
      <c r="J19" s="21">
        <v>2484788.0</v>
      </c>
      <c r="K19" s="23">
        <v>331234.0</v>
      </c>
      <c r="L19" s="23">
        <f t="shared" si="3"/>
        <v>298110.6</v>
      </c>
      <c r="M19" s="24">
        <f t="shared" si="4"/>
        <v>0</v>
      </c>
      <c r="N19" s="25">
        <f t="shared" si="5"/>
        <v>0</v>
      </c>
      <c r="O19" s="23">
        <f t="shared" si="6"/>
        <v>298110.6</v>
      </c>
      <c r="P19" s="25">
        <f t="shared" si="7"/>
        <v>1</v>
      </c>
      <c r="Q19" s="6">
        <v>569819.0</v>
      </c>
      <c r="R19" s="6">
        <v>433.0</v>
      </c>
      <c r="S19" s="24">
        <f t="shared" si="8"/>
        <v>229322.9845</v>
      </c>
      <c r="T19" s="24">
        <f t="shared" si="9"/>
        <v>174.2603393</v>
      </c>
      <c r="U19" s="5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$A19) ) ), 0 )"),0.0)</f>
        <v>0</v>
      </c>
      <c r="V19" s="5">
        <f>SUMIF('Shipments by country'!$B:$B,$A19,'Shipments by country'!$K:$K)</f>
        <v>0</v>
      </c>
      <c r="W19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$A19) ) ), 0 )"),0.0)</f>
        <v>0</v>
      </c>
      <c r="X19" s="5">
        <f>SUMIF('Shipments by country'!$B:$B,$A19,'Shipments by country'!$L:$L)</f>
        <v>0</v>
      </c>
      <c r="Y19" s="6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$A19) ) ), 0 )"),0.0)</f>
        <v>0</v>
      </c>
      <c r="Z19" s="5">
        <f>SUMIF('Shipments by country'!$B:$B,$A19,'Shipments by country'!$M:$M)</f>
        <v>0</v>
      </c>
      <c r="AA19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$A19) ) ), 0 )"),0.0)</f>
        <v>0</v>
      </c>
      <c r="AB19" s="5">
        <f>SUMIF('Shipments by country'!$B:$B,$A19,'Shipments by country'!$N:$N)</f>
        <v>0</v>
      </c>
      <c r="AC19" s="5">
        <f>IFERROR(__xludf.DUMMYFUNCTION("IFERROR( SUM( FILTER( 'Shipments by country'!$H$2:$H1023 * ( INDEX(Countries!$S$2:$S1023, MATCH('Shipments by country'!$B$2:$B1023, Countries!$A$2:$A1023, 0) ) / 1000000 ) * 'Shipments by country'!$J$2:$J1023, ('Shipments by country'!$E$2:$E1023 &lt; NOW()) "&amp;"* ('Shipments by country'!$I$2:$I1023 &gt; 0) * ('Shipments by country'!$B$2:$B1023 = $A19) ) ), 0 )"),0.0)</f>
        <v>0</v>
      </c>
      <c r="AD19" s="5">
        <f>SUMIF('Shipments by country'!$B:$B,$A19,'Shipments by country'!$O:$O)</f>
        <v>0</v>
      </c>
      <c r="AE19" s="5">
        <f>IFERROR(__xludf.DUMMYFUNCTION("IFERROR( SUM( FILTER( 'Shipments by country'!$H$2:$H1023 * ( INDEX(Countries!$T$2:$T1023, MATCH('Shipments by country'!$B$2:$B1023, Countries!$A$2:$A1023, 0) ) / 1000000 ) * 'Shipments by country'!$J$2:$J1023, ('Shipments by country'!$E$2:$E1023 &lt; NOW()) "&amp;"* ('Shipments by country'!$I$2:$I1023 &gt; 0) * ('Shipments by country'!$B$2:$B1023 = $A19) ) ), 0 )"),0.0)</f>
        <v>0</v>
      </c>
      <c r="AF19" s="5">
        <f>SUMIF('Shipments by country'!$B:$B,$A19,'Shipments by country'!$P:$P)</f>
        <v>0</v>
      </c>
      <c r="AG19" s="5">
        <f>IFERROR(__xludf.DUMMYFUNCTION("IFERROR(
  SUM(
    FILTER(
      'Shipments by country'!$H$2:$H1023                                *
      INDEX(Countries!$S$2:$S1023,
            MATCH('Shipments by country'!$B$2:$B1023, Countries!$A$2:$A1023, 0)
           ) / 1000000                "&amp;"                                 *
      'Shipments by country'!$J$2:$J1023,
      ( 'Shipments by country'!$E$2:$E1023 &lt;  NOW()           )        *
      ( 'Shipments by country'!$I$2:$I1023 &gt; 0.25             )        *
      ( 'Shipments by country'!$"&amp;"B$2:$B1023 =  $A19             )
    )
  ),
  0
)
"),0.0)</f>
        <v>0</v>
      </c>
      <c r="AH19" s="5">
        <f>SUMIF('Shipments by country'!$B:$B,$A19,'Shipments by country'!$Q:$Q)</f>
        <v>0</v>
      </c>
      <c r="AI19" s="26">
        <f>IFERROR(__xludf.DUMMYFUNCTION("IFERROR(
  SUM(
    FILTER(
      'Shipments by country'!$H$2:$H1023
        * ( INDEX(Countries!$T$2:$T1023,
                 MATCH('Shipments by country'!$B$2:$B1023, Countries!$A$2:$A1023, 0)
               ) / 1000000 )
        * 'Shipments by country"&amp;"'!$J$2:$J1023,
      ('Shipments by country'!$E$2:$E1023 &lt; NOW()) *
      ('Shipments by country'!$I$2:$I1023 &gt; 0.25) *
      ('Shipments by country'!$B$2:$B1023 = $A19)
    )
  ),
  0
)
"),0.0)</f>
        <v>0</v>
      </c>
      <c r="AJ19" s="5">
        <f>SUMIF('Shipments by country'!$B:$B,$A19,'Shipments by country'!$R:$R)</f>
        <v>0</v>
      </c>
      <c r="AK19" s="26">
        <f t="shared" si="10"/>
        <v>1192442.4</v>
      </c>
      <c r="AL19" s="27">
        <f>AK19*'Vaccine pricing'!B3</f>
        <v>3565402.776</v>
      </c>
      <c r="AM19" s="28" t="str">
        <f>IF($A19="","",
 LET(
  ctry,$A19,
  ctryCol,'Shipments by country'!$B$2:$B1023,
  vaccCol,'Shipments by country'!$C$2:$C1023,
  finCol,'Shipments by country'!$D$2:$D1023,
  doseCol,'Shipments by country'!$F$2:$F1023,
  price,IFERROR(VLOOKUP(vaccCol,'Vaccine pricing'!$A$2:$B1023,2,FALSE),0),
  totCost,SUMPRODUCT((ctryCol=ctry)*doseCol*price),
  gaviCost,SUMPRODUCT((ctryCol=ctry)*(finCol="Gavi")*doseCol*price),
  IF(totCost=0,"",gaviCost/totCost)
 ))
</f>
        <v/>
      </c>
      <c r="AN19" s="24" t="s">
        <v>77</v>
      </c>
      <c r="AO19" s="30" t="s">
        <v>78</v>
      </c>
      <c r="AP19" s="24" t="s">
        <v>77</v>
      </c>
      <c r="AQ19" s="29">
        <f>'Vaccine pricing'!$B$3*4/((S19/1000000)*'Vaccine efficacy curves'!$C$3)</f>
        <v>69.53802168</v>
      </c>
      <c r="AR19" s="29">
        <f>'Vaccine pricing'!$B$3*4/((T19/1000000)*'Vaccine efficacy curves'!$C$3)</f>
        <v>91510.59116</v>
      </c>
      <c r="AS19" s="24">
        <f t="shared" si="11"/>
        <v>66246.8</v>
      </c>
      <c r="AT19" s="24">
        <f t="shared" si="12"/>
        <v>264987.2</v>
      </c>
      <c r="AU19" s="30">
        <f>AT19*'Vaccine pricing'!B3</f>
        <v>792311.728</v>
      </c>
      <c r="AV19" s="24">
        <f t="shared" si="13"/>
        <v>171137.5667</v>
      </c>
      <c r="AW19" s="25">
        <f t="shared" si="14"/>
        <v>0</v>
      </c>
      <c r="AX19" s="24">
        <f t="shared" si="15"/>
        <v>171137.5667</v>
      </c>
      <c r="AY19" s="25">
        <f t="shared" si="16"/>
        <v>1</v>
      </c>
      <c r="AZ19" s="24">
        <f t="shared" si="17"/>
        <v>684550.2667</v>
      </c>
      <c r="BA19" s="30">
        <f>AZ19*'Vaccine pricing'!B3</f>
        <v>2046805.297</v>
      </c>
      <c r="BB19" s="30" t="s">
        <v>78</v>
      </c>
    </row>
    <row r="20" ht="22.5" customHeight="1">
      <c r="A20" s="3" t="s">
        <v>96</v>
      </c>
      <c r="B20" s="20">
        <f>SUMIFS('Shipments by country'!F:F, 
        'Shipments by country'!B:B, A20, 
        'Shipments by country'!C:C, "RTS,S", 
        'Shipments by country'!G:G, "Delivered")
</f>
        <v>0</v>
      </c>
      <c r="C20" s="4">
        <f>SUMIFS('Shipments by country'!F:F, 
        'Shipments by country'!B:B, A20, 
        'Shipments by country'!C:C, "R21", 
        'Shipments by country'!G:G, "Delivered")
</f>
        <v>0</v>
      </c>
      <c r="D20" s="20">
        <f t="shared" si="1"/>
        <v>0</v>
      </c>
      <c r="E20" s="4">
        <f>SUMIFS('Shipments by country'!F:F, 
        'Shipments by country'!B:B, A20, 
        'Shipments by country'!C:C, "RTS,S")
</f>
        <v>0</v>
      </c>
      <c r="F20" s="4">
        <f>SUMIFS('Shipments by country'!F:F, 
        'Shipments by country'!B:B, A20, 
        'Shipments by country'!C:C, "R21")
</f>
        <v>0</v>
      </c>
      <c r="G20" s="4">
        <f t="shared" si="2"/>
        <v>0</v>
      </c>
      <c r="H20" s="21" t="s">
        <v>80</v>
      </c>
      <c r="I20" s="6">
        <v>0.0</v>
      </c>
      <c r="J20" s="21">
        <v>2697845.0</v>
      </c>
      <c r="K20" s="23">
        <v>383559.0</v>
      </c>
      <c r="L20" s="23">
        <f t="shared" si="3"/>
        <v>345203.1</v>
      </c>
      <c r="M20" s="24">
        <f t="shared" si="4"/>
        <v>0</v>
      </c>
      <c r="N20" s="25">
        <f t="shared" si="5"/>
        <v>0</v>
      </c>
      <c r="O20" s="23">
        <f t="shared" si="6"/>
        <v>345203.1</v>
      </c>
      <c r="P20" s="25">
        <f t="shared" si="7"/>
        <v>1</v>
      </c>
      <c r="Q20" s="6">
        <v>236079.0</v>
      </c>
      <c r="R20" s="6">
        <v>632.0</v>
      </c>
      <c r="S20" s="24">
        <f t="shared" si="8"/>
        <v>87506.50983</v>
      </c>
      <c r="T20" s="24">
        <f t="shared" si="9"/>
        <v>234.2610491</v>
      </c>
      <c r="U20" s="5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$A20) ) ), 0 )"),0.0)</f>
        <v>0</v>
      </c>
      <c r="V20" s="5">
        <f>SUMIF('Shipments by country'!$B:$B,$A20,'Shipments by country'!$K:$K)</f>
        <v>0</v>
      </c>
      <c r="W20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$A20) ) ), 0 )"),0.0)</f>
        <v>0</v>
      </c>
      <c r="X20" s="5">
        <f>SUMIF('Shipments by country'!$B:$B,$A20,'Shipments by country'!$L:$L)</f>
        <v>0</v>
      </c>
      <c r="Y20" s="6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$A20) ) ), 0 )"),0.0)</f>
        <v>0</v>
      </c>
      <c r="Z20" s="5">
        <f>SUMIF('Shipments by country'!$B:$B,$A20,'Shipments by country'!$M:$M)</f>
        <v>0</v>
      </c>
      <c r="AA20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$A20) ) ), 0 )"),0.0)</f>
        <v>0</v>
      </c>
      <c r="AB20" s="5">
        <f>SUMIF('Shipments by country'!$B:$B,$A20,'Shipments by country'!$N:$N)</f>
        <v>0</v>
      </c>
      <c r="AC20" s="5">
        <f>IFERROR(__xludf.DUMMYFUNCTION("IFERROR( SUM( FILTER( 'Shipments by country'!$H$2:$H1023 * ( INDEX(Countries!$S$2:$S1023, MATCH('Shipments by country'!$B$2:$B1023, Countries!$A$2:$A1023, 0) ) / 1000000 ) * 'Shipments by country'!$J$2:$J1023, ('Shipments by country'!$E$2:$E1023 &lt; NOW()) "&amp;"* ('Shipments by country'!$I$2:$I1023 &gt; 0) * ('Shipments by country'!$B$2:$B1023 = $A20) ) ), 0 )"),0.0)</f>
        <v>0</v>
      </c>
      <c r="AD20" s="5">
        <f>SUMIF('Shipments by country'!$B:$B,$A20,'Shipments by country'!$O:$O)</f>
        <v>0</v>
      </c>
      <c r="AE20" s="5">
        <f>IFERROR(__xludf.DUMMYFUNCTION("IFERROR( SUM( FILTER( 'Shipments by country'!$H$2:$H1023 * ( INDEX(Countries!$T$2:$T1023, MATCH('Shipments by country'!$B$2:$B1023, Countries!$A$2:$A1023, 0) ) / 1000000 ) * 'Shipments by country'!$J$2:$J1023, ('Shipments by country'!$E$2:$E1023 &lt; NOW()) "&amp;"* ('Shipments by country'!$I$2:$I1023 &gt; 0) * ('Shipments by country'!$B$2:$B1023 = $A20) ) ), 0 )"),0.0)</f>
        <v>0</v>
      </c>
      <c r="AF20" s="5">
        <f>SUMIF('Shipments by country'!$B:$B,$A20,'Shipments by country'!$P:$P)</f>
        <v>0</v>
      </c>
      <c r="AG20" s="5">
        <f>IFERROR(__xludf.DUMMYFUNCTION("IFERROR(
  SUM(
    FILTER(
      'Shipments by country'!$H$2:$H1023                                *
      INDEX(Countries!$S$2:$S1023,
            MATCH('Shipments by country'!$B$2:$B1023, Countries!$A$2:$A1023, 0)
           ) / 1000000                "&amp;"                                 *
      'Shipments by country'!$J$2:$J1023,
      ( 'Shipments by country'!$E$2:$E1023 &lt;  NOW()           )        *
      ( 'Shipments by country'!$I$2:$I1023 &gt; 0.25             )        *
      ( 'Shipments by country'!$"&amp;"B$2:$B1023 =  $A20             )
    )
  ),
  0
)
"),0.0)</f>
        <v>0</v>
      </c>
      <c r="AH20" s="5">
        <f>SUMIF('Shipments by country'!$B:$B,$A20,'Shipments by country'!$Q:$Q)</f>
        <v>0</v>
      </c>
      <c r="AI20" s="26">
        <f>IFERROR(__xludf.DUMMYFUNCTION("IFERROR(
  SUM(
    FILTER(
      'Shipments by country'!$H$2:$H1023
        * ( INDEX(Countries!$T$2:$T1023,
                 MATCH('Shipments by country'!$B$2:$B1023, Countries!$A$2:$A1023, 0)
               ) / 1000000 )
        * 'Shipments by country"&amp;"'!$J$2:$J1023,
      ('Shipments by country'!$E$2:$E1023 &lt; NOW()) *
      ('Shipments by country'!$I$2:$I1023 &gt; 0.25) *
      ('Shipments by country'!$B$2:$B1023 = $A20)
    )
  ),
  0
)
"),0.0)</f>
        <v>0</v>
      </c>
      <c r="AJ20" s="5">
        <f>SUMIF('Shipments by country'!$B:$B,$A20,'Shipments by country'!$R:$R)</f>
        <v>0</v>
      </c>
      <c r="AK20" s="26">
        <f t="shared" si="10"/>
        <v>1380812.4</v>
      </c>
      <c r="AL20" s="27">
        <f>AK20*'Vaccine pricing'!B3</f>
        <v>4128629.076</v>
      </c>
      <c r="AM20" s="28" t="str">
        <f>IF($A20="","",
 LET(
  ctry,$A20,
  ctryCol,'Shipments by country'!$B$2:$B1023,
  vaccCol,'Shipments by country'!$C$2:$C1023,
  finCol,'Shipments by country'!$D$2:$D1023,
  doseCol,'Shipments by country'!$F$2:$F1023,
  price,IFERROR(VLOOKUP(vaccCol,'Vaccine pricing'!$A$2:$B1023,2,FALSE),0),
  totCost,SUMPRODUCT((ctryCol=ctry)*doseCol*price),
  gaviCost,SUMPRODUCT((ctryCol=ctry)*(finCol="Gavi")*doseCol*price),
  IF(totCost=0,"",gaviCost/totCost)
 ))
</f>
        <v/>
      </c>
      <c r="AN20" s="24">
        <v>11.0</v>
      </c>
      <c r="AO20" s="27">
        <v>276162.48000000004</v>
      </c>
      <c r="AP20" s="24">
        <v>813.0</v>
      </c>
      <c r="AQ20" s="29">
        <f>'Vaccine pricing'!$B$3*4/((S20/1000000)*'Vaccine efficacy curves'!$C$3)</f>
        <v>182.2340612</v>
      </c>
      <c r="AR20" s="29">
        <f>'Vaccine pricing'!$B$3*4/((T20/1000000)*'Vaccine efficacy curves'!$C$3)</f>
        <v>68072.20717</v>
      </c>
      <c r="AS20" s="24">
        <f t="shared" si="11"/>
        <v>76711.8</v>
      </c>
      <c r="AT20" s="24">
        <f t="shared" si="12"/>
        <v>306847.2</v>
      </c>
      <c r="AU20" s="30">
        <f>AT20*'Vaccine pricing'!B3</f>
        <v>917473.128</v>
      </c>
      <c r="AV20" s="24">
        <f t="shared" si="13"/>
        <v>198172.15</v>
      </c>
      <c r="AW20" s="25">
        <f t="shared" si="14"/>
        <v>0</v>
      </c>
      <c r="AX20" s="24">
        <f t="shared" si="15"/>
        <v>198172.15</v>
      </c>
      <c r="AY20" s="25">
        <f t="shared" si="16"/>
        <v>1</v>
      </c>
      <c r="AZ20" s="24">
        <f t="shared" si="17"/>
        <v>792688.6</v>
      </c>
      <c r="BA20" s="30">
        <f>AZ20*'Vaccine pricing'!B3</f>
        <v>2370138.914</v>
      </c>
      <c r="BB20" s="30">
        <v>158537.72</v>
      </c>
    </row>
    <row r="21" ht="22.5" customHeight="1">
      <c r="A21" s="3" t="s">
        <v>97</v>
      </c>
      <c r="B21" s="20">
        <f>SUMIFS('Shipments by country'!F:F, 
        'Shipments by country'!B:B, A21, 
        'Shipments by country'!C:C, "RTS,S", 
        'Shipments by country'!G:G, "Delivered")
</f>
        <v>2000000</v>
      </c>
      <c r="C21" s="4">
        <f>SUMIFS('Shipments by country'!F:F, 
        'Shipments by country'!B:B, A21, 
        'Shipments by country'!C:C, "R21", 
        'Shipments by country'!G:G, "Delivered")
</f>
        <v>1222000</v>
      </c>
      <c r="D21" s="20">
        <f t="shared" si="1"/>
        <v>3222000</v>
      </c>
      <c r="E21" s="4">
        <f>SUMIFS('Shipments by country'!F:F, 
        'Shipments by country'!B:B, A21, 
        'Shipments by country'!C:C, "RTS,S")
</f>
        <v>2300000</v>
      </c>
      <c r="F21" s="4">
        <f>SUMIFS('Shipments by country'!F:F, 
        'Shipments by country'!B:B, A21, 
        'Shipments by country'!C:C, "R21")
</f>
        <v>1389200</v>
      </c>
      <c r="G21" s="4">
        <f t="shared" si="2"/>
        <v>3689200</v>
      </c>
      <c r="H21" s="21" t="s">
        <v>87</v>
      </c>
      <c r="I21" s="6">
        <v>2.8E7</v>
      </c>
      <c r="J21" s="21">
        <v>3.3787914E7</v>
      </c>
      <c r="K21" s="23">
        <v>4225767.0</v>
      </c>
      <c r="L21" s="23">
        <f t="shared" si="3"/>
        <v>3803190.3</v>
      </c>
      <c r="M21" s="24">
        <f t="shared" si="4"/>
        <v>922300</v>
      </c>
      <c r="N21" s="25">
        <f t="shared" si="5"/>
        <v>0.242506929</v>
      </c>
      <c r="O21" s="23">
        <f t="shared" si="6"/>
        <v>2880890.3</v>
      </c>
      <c r="P21" s="25">
        <f t="shared" si="7"/>
        <v>0.757493071</v>
      </c>
      <c r="Q21" s="6">
        <v>6551533.0</v>
      </c>
      <c r="R21" s="6">
        <v>11464.0</v>
      </c>
      <c r="S21" s="24">
        <f t="shared" si="8"/>
        <v>193901.6715</v>
      </c>
      <c r="T21" s="24">
        <f t="shared" si="9"/>
        <v>339.2929199</v>
      </c>
      <c r="U21" s="5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$A21) ) ), 0 )"),174298.28047489037)</f>
        <v>174298.2805</v>
      </c>
      <c r="V21" s="5">
        <f>SUMIF('Shipments by country'!$B:$B,$A21,'Shipments by country'!$K:$K)</f>
        <v>6104.243017</v>
      </c>
      <c r="W21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$A21) ) ), 0 )"),345.7546742398606)</f>
        <v>345.7546742</v>
      </c>
      <c r="X21" s="5">
        <f>SUMIF('Shipments by country'!$B:$B,$A21,'Shipments by country'!$L:$L)</f>
        <v>103246.9403</v>
      </c>
      <c r="Y21" s="6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$A21) ) ), 0 )"),159451.74891825576)</f>
        <v>159451.7489</v>
      </c>
      <c r="Z21" s="5">
        <f>SUMIF('Shipments by country'!$B:$B,$A21,'Shipments by country'!$M:$M)</f>
        <v>4627.334202</v>
      </c>
      <c r="AA21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$A21) ) ), 0 )"),316.30367984123535)</f>
        <v>316.3036798</v>
      </c>
      <c r="AB21" s="5">
        <f>SUMIF('Shipments by country'!$B:$B,$A21,'Shipments by country'!$N:$N)</f>
        <v>78266.55933</v>
      </c>
      <c r="AC21" s="5">
        <f>IFERROR(__xludf.DUMMYFUNCTION("IFERROR( SUM( FILTER( 'Shipments by country'!$H$2:$H1023 * ( INDEX(Countries!$S$2:$S1023, MATCH('Shipments by country'!$B$2:$B1023, Countries!$A$2:$A1023, 0) ) / 1000000 ) * 'Shipments by country'!$J$2:$J1023, ('Shipments by country'!$E$2:$E1023 &lt; NOW()) "&amp;"* ('Shipments by country'!$I$2:$I1023 &gt; 0) * ('Shipments by country'!$B$2:$B1023 = $A21) ) ), 0 )"),188243.6778085504)</f>
        <v>188243.6778</v>
      </c>
      <c r="AD21" s="5">
        <f>SUMIF('Shipments by country'!$B:$B,$A21,'Shipments by country'!$O:$O)</f>
        <v>5926.605874</v>
      </c>
      <c r="AE21" s="5">
        <f>IFERROR(__xludf.DUMMYFUNCTION("IFERROR( SUM( FILTER( 'Shipments by country'!$H$2:$H1023 * ( INDEX(Countries!$T$2:$T1023, MATCH('Shipments by country'!$B$2:$B1023, Countries!$A$2:$A1023, 0) ) / 1000000 ) * 'Shipments by country'!$J$2:$J1023, ('Shipments by country'!$E$2:$E1023 &lt; NOW()) "&amp;"* ('Shipments by country'!$I$2:$I1023 &gt; 0) * ('Shipments by country'!$B$2:$B1023 = $A21) ) ), 0 )"),373.41809294432477)</f>
        <v>373.4180929</v>
      </c>
      <c r="AF21" s="5">
        <f>SUMIF('Shipments by country'!$B:$B,$A21,'Shipments by country'!$P:$P)</f>
        <v>100242.3923</v>
      </c>
      <c r="AG21" s="5">
        <f>IFERROR(__xludf.DUMMYFUNCTION("IFERROR(
  SUM(
    FILTER(
      'Shipments by country'!$H$2:$H1023                                *
      INDEX(Countries!$S$2:$S1023,
            MATCH('Shipments by country'!$B$2:$B1023, Countries!$A$2:$A1023, 0)
           ) / 1000000                "&amp;"                                 *
      'Shipments by country'!$J$2:$J1023,
      ( 'Shipments by country'!$E$2:$E1023 &lt;  NOW()           )        *
      ( 'Shipments by country'!$I$2:$I1023 &gt; 0.25             )        *
      ( 'Shipments by country'!$"&amp;"B$2:$B1023 =  $A21             )
    )
  ),
  0
)
"),173397.14625191578)</f>
        <v>173397.1463</v>
      </c>
      <c r="AH21" s="5">
        <f>SUMIF('Shipments by country'!$B:$B,$A21,'Shipments by country'!$Q:$Q)</f>
        <v>23670.66461</v>
      </c>
      <c r="AI21" s="26">
        <f>IFERROR(__xludf.DUMMYFUNCTION("IFERROR(
  SUM(
    FILTER(
      'Shipments by country'!$H$2:$H1023
        * ( INDEX(Countries!$T$2:$T1023,
                 MATCH('Shipments by country'!$B$2:$B1023, Countries!$A$2:$A1023, 0)
               ) / 1000000 )
        * 'Shipments by country"&amp;"'!$J$2:$J1023,
      ('Shipments by country'!$E$2:$E1023 &lt; NOW()) *
      ('Shipments by country'!$I$2:$I1023 &gt; 0.25) *
      ('Shipments by country'!$B$2:$B1023 = $A21)
    )
  ),
  0
)
"),343.9670985456995)</f>
        <v>343.9670985</v>
      </c>
      <c r="AJ21" s="5">
        <f>SUMIF('Shipments by country'!$B:$B,$A21,'Shipments by country'!$R:$R)</f>
        <v>41.41938979</v>
      </c>
      <c r="AK21" s="26">
        <f t="shared" si="10"/>
        <v>11523561.2</v>
      </c>
      <c r="AL21" s="27">
        <f>AK21*'Vaccine pricing'!B3</f>
        <v>34455447.99</v>
      </c>
      <c r="AM21" s="28">
        <f>IF($A21="","",
 LET(
  ctry,$A21,
  ctryCol,'Shipments by country'!$B$2:$B1023,
  vaccCol,'Shipments by country'!$C$2:$C1023,
  finCol,'Shipments by country'!$D$2:$D1023,
  doseCol,'Shipments by country'!$F$2:$F1023,
  price,IFERROR(VLOOKUP(vaccCol,'Vaccine pricing'!$A$2:$B1023,2,FALSE),0),
  totCost,SUMPRODUCT((ctryCol=ctry)*doseCol*price),
  gaviCost,SUMPRODUCT((ctryCol=ctry)*(finCol="Gavi")*doseCol*price),
  IF(totCost=0,"",gaviCost/totCost)
 ))
</f>
        <v>0.8045646753</v>
      </c>
      <c r="AN21" s="24">
        <v>4.0</v>
      </c>
      <c r="AO21" s="27">
        <v>1.7227723994000003E7</v>
      </c>
      <c r="AP21" s="24">
        <v>2350.0</v>
      </c>
      <c r="AQ21" s="29">
        <f>'Vaccine pricing'!$B$3*4/((S21/1000000)*'Vaccine efficacy curves'!$C$3)</f>
        <v>82.24099641</v>
      </c>
      <c r="AR21" s="29">
        <f>'Vaccine pricing'!$B$3*4/((T21/1000000)*'Vaccine efficacy curves'!$C$3)</f>
        <v>46999.70359</v>
      </c>
      <c r="AS21" s="24">
        <f t="shared" si="11"/>
        <v>845153.4</v>
      </c>
      <c r="AT21" s="24">
        <f t="shared" si="12"/>
        <v>3380613.6</v>
      </c>
      <c r="AU21" s="30">
        <f>AT21*'Vaccine pricing'!B3</f>
        <v>10108034.66</v>
      </c>
      <c r="AV21" s="24">
        <f t="shared" si="13"/>
        <v>2183312.95</v>
      </c>
      <c r="AW21" s="25">
        <f t="shared" si="14"/>
        <v>0.4224314247</v>
      </c>
      <c r="AX21" s="24">
        <f t="shared" si="15"/>
        <v>1261012.95</v>
      </c>
      <c r="AY21" s="25">
        <f t="shared" si="16"/>
        <v>0.5775685753</v>
      </c>
      <c r="AZ21" s="24">
        <f t="shared" si="17"/>
        <v>5044051.8</v>
      </c>
      <c r="BA21" s="30">
        <f>AZ21*'Vaccine pricing'!B3</f>
        <v>15081714.88</v>
      </c>
      <c r="BB21" s="30">
        <v>7540857.4410000015</v>
      </c>
    </row>
    <row r="22" ht="22.5" customHeight="1">
      <c r="A22" s="3" t="s">
        <v>98</v>
      </c>
      <c r="B22" s="20">
        <f>SUMIFS('Shipments by country'!F:F, 
        'Shipments by country'!B:B, A22, 
        'Shipments by country'!C:C, "RTS,S", 
        'Shipments by country'!G:G, "Delivered")
</f>
        <v>568300</v>
      </c>
      <c r="C22" s="4">
        <f>SUMIFS('Shipments by country'!F:F, 
        'Shipments by country'!B:B, A22, 
        'Shipments by country'!C:C, "R21", 
        'Shipments by country'!G:G, "Delivered")
</f>
        <v>0</v>
      </c>
      <c r="D22" s="20">
        <f t="shared" si="1"/>
        <v>568300</v>
      </c>
      <c r="E22" s="4">
        <f>SUMIFS('Shipments by country'!F:F, 
        'Shipments by country'!B:B, A22, 
        'Shipments by country'!C:C, "RTS,S")
</f>
        <v>579000</v>
      </c>
      <c r="F22" s="4">
        <f>SUMIFS('Shipments by country'!F:F, 
        'Shipments by country'!B:B, A22, 
        'Shipments by country'!C:C, "R21")
</f>
        <v>0</v>
      </c>
      <c r="G22" s="4">
        <f t="shared" si="2"/>
        <v>579000</v>
      </c>
      <c r="H22" s="21" t="s">
        <v>74</v>
      </c>
      <c r="I22" s="6">
        <v>1.7E7</v>
      </c>
      <c r="J22" s="21">
        <v>1.4405468E7</v>
      </c>
      <c r="K22" s="23">
        <v>2194570.0</v>
      </c>
      <c r="L22" s="23">
        <f t="shared" si="3"/>
        <v>1975113</v>
      </c>
      <c r="M22" s="24">
        <f t="shared" si="4"/>
        <v>144750</v>
      </c>
      <c r="N22" s="25">
        <f t="shared" si="5"/>
        <v>0.07328694611</v>
      </c>
      <c r="O22" s="23">
        <f t="shared" si="6"/>
        <v>1830363</v>
      </c>
      <c r="P22" s="25">
        <f t="shared" si="7"/>
        <v>0.9267130539</v>
      </c>
      <c r="Q22" s="6">
        <v>4433772.0</v>
      </c>
      <c r="R22" s="6">
        <v>10188.0</v>
      </c>
      <c r="S22" s="24">
        <f t="shared" si="8"/>
        <v>307783.9609</v>
      </c>
      <c r="T22" s="24">
        <f t="shared" si="9"/>
        <v>707.2314485</v>
      </c>
      <c r="U22" s="5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$A22) ) ), 0 )"),28124.279612118175)</f>
        <v>28124.27961</v>
      </c>
      <c r="V22" s="5">
        <f>SUMIF('Shipments by country'!$B:$B,$A22,'Shipments by country'!$K:$K)</f>
        <v>510.7414013</v>
      </c>
      <c r="W22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$A22) ) ), 0 )"),55.79000038912913)</f>
        <v>55.79000039</v>
      </c>
      <c r="X22" s="5">
        <f>SUMIF('Shipments by country'!$B:$B,$A22,'Shipments by country'!$L:$L)</f>
        <v>15429.72237</v>
      </c>
      <c r="Y22" s="6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$A22) ) ), 0 )"),28124.279612118175)</f>
        <v>28124.27961</v>
      </c>
      <c r="Z22" s="5">
        <f>SUMIF('Shipments by country'!$B:$B,$A22,'Shipments by country'!$M:$M)</f>
        <v>308.0969873</v>
      </c>
      <c r="AA22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$A22) ) ), 0 )"),55.79000038912913)</f>
        <v>55.79000039</v>
      </c>
      <c r="AB22" s="5">
        <f>SUMIF('Shipments by country'!$B:$B,$A22,'Shipments by country'!$N:$N)</f>
        <v>9307.745494</v>
      </c>
      <c r="AC22" s="5">
        <f>IFERROR(__xludf.DUMMYFUNCTION("IFERROR( SUM( FILTER( 'Shipments by country'!$H$2:$H1023 * ( INDEX(Countries!$S$2:$S1023, MATCH('Shipments by country'!$B$2:$B1023, Countries!$A$2:$A1023, 0) ) / 1000000 ) * 'Shipments by country'!$J$2:$J1023, ('Shipments by country'!$E$2:$E1023 &lt; NOW()) "&amp;"* ('Shipments by country'!$I$2:$I1023 &gt; 0) * ('Shipments by country'!$B$2:$B1023 = $A22) ) ), 0 )"),28124.279612118175)</f>
        <v>28124.27961</v>
      </c>
      <c r="AD22" s="5">
        <f>SUMIF('Shipments by country'!$B:$B,$A22,'Shipments by country'!$O:$O)</f>
        <v>510.7414013</v>
      </c>
      <c r="AE22" s="5">
        <f>IFERROR(__xludf.DUMMYFUNCTION("IFERROR( SUM( FILTER( 'Shipments by country'!$H$2:$H1023 * ( INDEX(Countries!$T$2:$T1023, MATCH('Shipments by country'!$B$2:$B1023, Countries!$A$2:$A1023, 0) ) / 1000000 ) * 'Shipments by country'!$J$2:$J1023, ('Shipments by country'!$E$2:$E1023 &lt; NOW()) "&amp;"* ('Shipments by country'!$I$2:$I1023 &gt; 0) * ('Shipments by country'!$B$2:$B1023 = $A22) ) ), 0 )"),55.79000038912913)</f>
        <v>55.79000039</v>
      </c>
      <c r="AF22" s="5">
        <f>SUMIF('Shipments by country'!$B:$B,$A22,'Shipments by country'!$P:$P)</f>
        <v>15429.72237</v>
      </c>
      <c r="AG22" s="5">
        <f>IFERROR(__xludf.DUMMYFUNCTION("IFERROR(
  SUM(
    FILTER(
      'Shipments by country'!$H$2:$H1023                                *
      INDEX(Countries!$S$2:$S1023,
            MATCH('Shipments by country'!$B$2:$B1023, Countries!$A$2:$A1023, 0)
           ) / 1000000                "&amp;"                                 *
      'Shipments by country'!$J$2:$J1023,
      ( 'Shipments by country'!$E$2:$E1023 &lt;  NOW()           )        *
      ( 'Shipments by country'!$I$2:$I1023 &gt; 0.25             )        *
      ( 'Shipments by country'!$"&amp;"B$2:$B1023 =  $A22             )
    )
  ),
  0
)
"),28124.279612118175)</f>
        <v>28124.27961</v>
      </c>
      <c r="AH22" s="5">
        <f>SUMIF('Shipments by country'!$B:$B,$A22,'Shipments by country'!$Q:$Q)</f>
        <v>6121.976875</v>
      </c>
      <c r="AI22" s="26">
        <f>IFERROR(__xludf.DUMMYFUNCTION("IFERROR(
  SUM(
    FILTER(
      'Shipments by country'!$H$2:$H1023
        * ( INDEX(Countries!$T$2:$T1023,
                 MATCH('Shipments by country'!$B$2:$B1023, Countries!$A$2:$A1023, 0)
               ) / 1000000 )
        * 'Shipments by country"&amp;"'!$J$2:$J1023,
      ('Shipments by country'!$E$2:$E1023 &lt; NOW()) *
      ('Shipments by country'!$I$2:$I1023 &gt; 0.25) *
      ('Shipments by country'!$B$2:$B1023 = $A22)
    )
  ),
  0
)
"),55.79000038912913)</f>
        <v>55.79000039</v>
      </c>
      <c r="AJ22" s="5">
        <f>SUMIF('Shipments by country'!$B:$B,$A22,'Shipments by country'!$R:$R)</f>
        <v>14.06718713</v>
      </c>
      <c r="AK22" s="26">
        <f t="shared" si="10"/>
        <v>7321452</v>
      </c>
      <c r="AL22" s="27">
        <f>AK22*'Vaccine pricing'!B3</f>
        <v>21891141.48</v>
      </c>
      <c r="AM22" s="28">
        <f>IF($A22="","",
 LET(
  ctry,$A22,
  ctryCol,'Shipments by country'!$B$2:$B1023,
  vaccCol,'Shipments by country'!$C$2:$C1023,
  finCol,'Shipments by country'!$D$2:$D1023,
  doseCol,'Shipments by country'!$F$2:$F1023,
  price,IFERROR(VLOOKUP(vaccCol,'Vaccine pricing'!$A$2:$B1023,2,FALSE),0),
  totCost,SUMPRODUCT((ctryCol=ctry)*doseCol*price),
  gaviCost,SUMPRODUCT((ctryCol=ctry)*(finCol="Gavi")*doseCol*price),
  IF(totCost=0,"",gaviCost/totCost)
 ))
</f>
        <v>0.9815198618</v>
      </c>
      <c r="AN22" s="24">
        <v>2.0</v>
      </c>
      <c r="AO22" s="27">
        <v>1683933.96</v>
      </c>
      <c r="AP22" s="24">
        <v>1183.0</v>
      </c>
      <c r="AQ22" s="29">
        <f>'Vaccine pricing'!$B$3*4/((S22/1000000)*'Vaccine efficacy curves'!$C$3)</f>
        <v>51.8112335</v>
      </c>
      <c r="AR22" s="29">
        <f>'Vaccine pricing'!$B$3*4/((T22/1000000)*'Vaccine efficacy curves'!$C$3)</f>
        <v>22548.01692</v>
      </c>
      <c r="AS22" s="24">
        <f t="shared" si="11"/>
        <v>438914</v>
      </c>
      <c r="AT22" s="24">
        <f t="shared" si="12"/>
        <v>1755656</v>
      </c>
      <c r="AU22" s="30">
        <f>AT22*'Vaccine pricing'!B3</f>
        <v>5249411.44</v>
      </c>
      <c r="AV22" s="24">
        <f t="shared" si="13"/>
        <v>1133861.167</v>
      </c>
      <c r="AW22" s="25">
        <f t="shared" si="14"/>
        <v>0.1276611319</v>
      </c>
      <c r="AX22" s="24">
        <f t="shared" si="15"/>
        <v>989111.1667</v>
      </c>
      <c r="AY22" s="25">
        <f t="shared" si="16"/>
        <v>0.8723388681</v>
      </c>
      <c r="AZ22" s="24">
        <f t="shared" si="17"/>
        <v>3956444.667</v>
      </c>
      <c r="BA22" s="30">
        <f>AZ22*'Vaccine pricing'!B3</f>
        <v>11829769.55</v>
      </c>
      <c r="BB22" s="30">
        <v>909982.2733333334</v>
      </c>
    </row>
    <row r="23" ht="22.5" customHeight="1">
      <c r="A23" s="3" t="s">
        <v>99</v>
      </c>
      <c r="B23" s="20">
        <f>SUMIFS('Shipments by country'!F:F, 
        'Shipments by country'!B:B, A23, 
        'Shipments by country'!C:C, "RTS,S", 
        'Shipments by country'!G:G, "Delivered")
</f>
        <v>110050</v>
      </c>
      <c r="C23" s="4">
        <f>SUMIFS('Shipments by country'!F:F, 
        'Shipments by country'!B:B, A23, 
        'Shipments by country'!C:C, "R21", 
        'Shipments by country'!G:G, "Delivered")
</f>
        <v>0</v>
      </c>
      <c r="D23" s="20">
        <f t="shared" si="1"/>
        <v>110050</v>
      </c>
      <c r="E23" s="4">
        <f>SUMIFS('Shipments by country'!F:F, 
        'Shipments by country'!B:B, A23, 
        'Shipments by country'!C:C, "RTS,S")
</f>
        <v>112050</v>
      </c>
      <c r="F23" s="4">
        <f>SUMIFS('Shipments by country'!F:F, 
        'Shipments by country'!B:B, A23, 
        'Shipments by country'!C:C, "R21")
</f>
        <v>0</v>
      </c>
      <c r="G23" s="4">
        <f t="shared" si="2"/>
        <v>112050</v>
      </c>
      <c r="H23" s="21" t="s">
        <v>80</v>
      </c>
      <c r="I23" s="6">
        <v>0.0</v>
      </c>
      <c r="J23" s="21">
        <v>2153339.0</v>
      </c>
      <c r="K23" s="23">
        <v>297297.0</v>
      </c>
      <c r="L23" s="23">
        <f t="shared" si="3"/>
        <v>267567.3</v>
      </c>
      <c r="M23" s="24">
        <f t="shared" si="4"/>
        <v>28012.5</v>
      </c>
      <c r="N23" s="25">
        <f t="shared" si="5"/>
        <v>0.1046932865</v>
      </c>
      <c r="O23" s="23">
        <f t="shared" si="6"/>
        <v>239554.8</v>
      </c>
      <c r="P23" s="25">
        <f t="shared" si="7"/>
        <v>0.8953067135</v>
      </c>
      <c r="Q23" s="6">
        <v>223937.0</v>
      </c>
      <c r="R23" s="6">
        <v>885.0</v>
      </c>
      <c r="S23" s="24">
        <f t="shared" si="8"/>
        <v>103995.2372</v>
      </c>
      <c r="T23" s="24">
        <f t="shared" si="9"/>
        <v>410.9896305</v>
      </c>
      <c r="U23" s="5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$A23) ) ), 0 )"),5446.202659358798)</f>
        <v>5446.202659</v>
      </c>
      <c r="V23" s="5">
        <f>SUMIF('Shipments by country'!$B:$B,$A23,'Shipments by country'!$K:$K)</f>
        <v>3.937309728</v>
      </c>
      <c r="W23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$A23) ) ), 0 )"),10.803606445229034)</f>
        <v>10.80360645</v>
      </c>
      <c r="X23" s="5">
        <f>SUMIF('Shipments by country'!$B:$B,$A23,'Shipments by country'!$L:$L)</f>
        <v>462.6683152</v>
      </c>
      <c r="Y23" s="6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$A23) ) ), 0 )"),5446.202659358798)</f>
        <v>5446.202659</v>
      </c>
      <c r="Z23" s="5">
        <f>SUMIF('Shipments by country'!$B:$B,$A23,'Shipments by country'!$M:$M)</f>
        <v>0.5285109777</v>
      </c>
      <c r="AA23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$A23) ) ), 0 )"),10.803606445229034)</f>
        <v>10.80360645</v>
      </c>
      <c r="AB23" s="5">
        <f>SUMIF('Shipments by country'!$B:$B,$A23,'Shipments by country'!$N:$N)</f>
        <v>62.10466042</v>
      </c>
      <c r="AC23" s="5">
        <f>IFERROR(__xludf.DUMMYFUNCTION("IFERROR( SUM( FILTER( 'Shipments by country'!$H$2:$H1023 * ( INDEX(Countries!$S$2:$S1023, MATCH('Shipments by country'!$B$2:$B1023, Countries!$A$2:$A1023, 0) ) / 1000000 ) * 'Shipments by country'!$J$2:$J1023, ('Shipments by country'!$E$2:$E1023 &lt; NOW()) "&amp;"* ('Shipments by country'!$I$2:$I1023 &gt; 0) * ('Shipments by country'!$B$2:$B1023 = $A23) ) ), 0 )"),5446.202659358798)</f>
        <v>5446.202659</v>
      </c>
      <c r="AD23" s="5">
        <f>SUMIF('Shipments by country'!$B:$B,$A23,'Shipments by country'!$O:$O)</f>
        <v>3.937309728</v>
      </c>
      <c r="AE23" s="5">
        <f>IFERROR(__xludf.DUMMYFUNCTION("IFERROR( SUM( FILTER( 'Shipments by country'!$H$2:$H1023 * ( INDEX(Countries!$T$2:$T1023, MATCH('Shipments by country'!$B$2:$B1023, Countries!$A$2:$A1023, 0) ) / 1000000 ) * 'Shipments by country'!$J$2:$J1023, ('Shipments by country'!$E$2:$E1023 &lt; NOW()) "&amp;"* ('Shipments by country'!$I$2:$I1023 &gt; 0) * ('Shipments by country'!$B$2:$B1023 = $A23) ) ), 0 )"),10.803606445229034)</f>
        <v>10.80360645</v>
      </c>
      <c r="AF23" s="5">
        <f>SUMIF('Shipments by country'!$B:$B,$A23,'Shipments by country'!$P:$P)</f>
        <v>462.6683152</v>
      </c>
      <c r="AG23" s="5">
        <f>IFERROR(__xludf.DUMMYFUNCTION("IFERROR(
  SUM(
    FILTER(
      'Shipments by country'!$H$2:$H1023                                *
      INDEX(Countries!$S$2:$S1023,
            MATCH('Shipments by country'!$B$2:$B1023, Countries!$A$2:$A1023, 0)
           ) / 1000000                "&amp;"                                 *
      'Shipments by country'!$J$2:$J1023,
      ( 'Shipments by country'!$E$2:$E1023 &lt;  NOW()           )        *
      ( 'Shipments by country'!$I$2:$I1023 &gt; 0.25             )        *
      ( 'Shipments by country'!$"&amp;"B$2:$B1023 =  $A23             )
    )
  ),
  0
)
"),5446.202659358798)</f>
        <v>5446.202659</v>
      </c>
      <c r="AH23" s="5">
        <f>SUMIF('Shipments by country'!$B:$B,$A23,'Shipments by country'!$Q:$Q)</f>
        <v>400.5636547</v>
      </c>
      <c r="AI23" s="26">
        <f>IFERROR(__xludf.DUMMYFUNCTION("IFERROR(
  SUM(
    FILTER(
      'Shipments by country'!$H$2:$H1023
        * ( INDEX(Countries!$T$2:$T1023,
                 MATCH('Shipments by country'!$B$2:$B1023, Countries!$A$2:$A1023, 0)
               ) / 1000000 )
        * 'Shipments by country"&amp;"'!$J$2:$J1023,
      ('Shipments by country'!$E$2:$E1023 &lt; NOW()) *
      ('Shipments by country'!$I$2:$I1023 &gt; 0.25) *
      ('Shipments by country'!$B$2:$B1023 = $A23)
    )
  ),
  0
)
"),10.803606445229034)</f>
        <v>10.80360645</v>
      </c>
      <c r="AJ23" s="5">
        <f>SUMIF('Shipments by country'!$B:$B,$A23,'Shipments by country'!$R:$R)</f>
        <v>1.583029309</v>
      </c>
      <c r="AK23" s="26">
        <f t="shared" si="10"/>
        <v>958219.2</v>
      </c>
      <c r="AL23" s="27">
        <f>AK23*'Vaccine pricing'!B3</f>
        <v>2865075.408</v>
      </c>
      <c r="AM23" s="28">
        <f>IF($A23="","",
 LET(
  ctry,$A23,
  ctryCol,'Shipments by country'!$B$2:$B1023,
  vaccCol,'Shipments by country'!$C$2:$C1023,
  finCol,'Shipments by country'!$D$2:$D1023,
  doseCol,'Shipments by country'!$F$2:$F1023,
  price,IFERROR(VLOOKUP(vaccCol,'Vaccine pricing'!$A$2:$B1023,2,FALSE),0),
  totCost,SUMPRODUCT((ctryCol=ctry)*doseCol*price),
  gaviCost,SUMPRODUCT((ctryCol=ctry)*(finCol="Gavi")*doseCol*price),
  IF(totCost=0,"",gaviCost/totCost)
 ))
</f>
        <v>0.9821508255</v>
      </c>
      <c r="AN23" s="24">
        <v>11.0</v>
      </c>
      <c r="AO23" s="27">
        <v>191643.84</v>
      </c>
      <c r="AP23" s="24">
        <v>833.0</v>
      </c>
      <c r="AQ23" s="29">
        <f>'Vaccine pricing'!$B$3*4/((S23/1000000)*'Vaccine efficacy curves'!$C$3)</f>
        <v>153.3403558</v>
      </c>
      <c r="AR23" s="29">
        <f>'Vaccine pricing'!$B$3*4/((T23/1000000)*'Vaccine efficacy curves'!$C$3)</f>
        <v>38800.65452</v>
      </c>
      <c r="AS23" s="24">
        <f t="shared" si="11"/>
        <v>59459.4</v>
      </c>
      <c r="AT23" s="24">
        <f t="shared" si="12"/>
        <v>237837.6</v>
      </c>
      <c r="AU23" s="30">
        <f>AT23*'Vaccine pricing'!B3</f>
        <v>711134.424</v>
      </c>
      <c r="AV23" s="24">
        <f t="shared" si="13"/>
        <v>153603.45</v>
      </c>
      <c r="AW23" s="25">
        <f t="shared" si="14"/>
        <v>0.1823689507</v>
      </c>
      <c r="AX23" s="24">
        <f t="shared" si="15"/>
        <v>125590.95</v>
      </c>
      <c r="AY23" s="25">
        <f t="shared" si="16"/>
        <v>0.8176310493</v>
      </c>
      <c r="AZ23" s="24">
        <f t="shared" si="17"/>
        <v>502363.8</v>
      </c>
      <c r="BA23" s="30">
        <f>AZ23*'Vaccine pricing'!B3</f>
        <v>1502067.762</v>
      </c>
      <c r="BB23" s="30">
        <v>100472.76000000001</v>
      </c>
    </row>
    <row r="24" ht="22.5" customHeight="1">
      <c r="A24" s="3" t="s">
        <v>100</v>
      </c>
      <c r="B24" s="20">
        <f>SUMIFS('Shipments by country'!F:F, 
        'Shipments by country'!B:B, A24, 
        'Shipments by country'!C:C, "RTS,S", 
        'Shipments by country'!G:G, "Delivered")
</f>
        <v>2000500</v>
      </c>
      <c r="C24" s="4">
        <f>SUMIFS('Shipments by country'!F:F, 
        'Shipments by country'!B:B, A24, 
        'Shipments by country'!C:C, "R21", 
        'Shipments by country'!G:G, "Delivered")
</f>
        <v>0</v>
      </c>
      <c r="D24" s="20">
        <f t="shared" si="1"/>
        <v>2000500</v>
      </c>
      <c r="E24" s="4">
        <f>SUMIFS('Shipments by country'!F:F, 
        'Shipments by country'!B:B, A24, 
        'Shipments by country'!C:C, "RTS,S")
</f>
        <v>2000500</v>
      </c>
      <c r="F24" s="4">
        <f>SUMIFS('Shipments by country'!F:F, 
        'Shipments by country'!B:B, A24, 
        'Shipments by country'!C:C, "R21")
</f>
        <v>0</v>
      </c>
      <c r="G24" s="4">
        <f t="shared" si="2"/>
        <v>2000500</v>
      </c>
      <c r="H24" s="21" t="s">
        <v>87</v>
      </c>
      <c r="I24" s="6">
        <v>3.35E7</v>
      </c>
      <c r="J24" s="21">
        <v>5.5339002E7</v>
      </c>
      <c r="K24" s="23">
        <v>7036696.0</v>
      </c>
      <c r="L24" s="23">
        <f t="shared" si="3"/>
        <v>6333026.4</v>
      </c>
      <c r="M24" s="24">
        <f t="shared" si="4"/>
        <v>500125</v>
      </c>
      <c r="N24" s="25">
        <f t="shared" si="5"/>
        <v>0.07897093244</v>
      </c>
      <c r="O24" s="23">
        <f t="shared" si="6"/>
        <v>5832901.4</v>
      </c>
      <c r="P24" s="25">
        <f t="shared" si="7"/>
        <v>0.9210290676</v>
      </c>
      <c r="Q24" s="6">
        <v>3294221.0</v>
      </c>
      <c r="R24" s="6">
        <v>11478.0</v>
      </c>
      <c r="S24" s="24">
        <f t="shared" si="8"/>
        <v>59528.01606</v>
      </c>
      <c r="T24" s="24">
        <f t="shared" si="9"/>
        <v>207.4124864</v>
      </c>
      <c r="U24" s="5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$A24) ) ), 0 )"),99001.62126349185)</f>
        <v>99001.62126</v>
      </c>
      <c r="V24" s="5">
        <f>SUMIF('Shipments by country'!$B:$B,$A24,'Shipments by country'!$K:$K)</f>
        <v>3612.167397</v>
      </c>
      <c r="W24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$A24) ) ), 0 )"),196.38904764816616)</f>
        <v>196.3890476</v>
      </c>
      <c r="X24" s="5">
        <f>SUMIF('Shipments by country'!$B:$B,$A24,'Shipments by country'!$L:$L)</f>
        <v>18733.67824</v>
      </c>
      <c r="Y24" s="6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$A24) ) ), 0 )"),88866.38905416262)</f>
        <v>88866.38905</v>
      </c>
      <c r="Z24" s="5">
        <f>SUMIF('Shipments by country'!$B:$B,$A24,'Shipments by country'!$M:$M)</f>
        <v>2818.27594</v>
      </c>
      <c r="AA24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$A24) ) ), 0 )"),176.28383547203796)</f>
        <v>176.2838355</v>
      </c>
      <c r="AB24" s="5">
        <f>SUMIF('Shipments by country'!$B:$B,$A24,'Shipments by country'!$N:$N)</f>
        <v>14616.34217</v>
      </c>
      <c r="AC24" s="5">
        <f>IFERROR(__xludf.DUMMYFUNCTION("IFERROR( SUM( FILTER( 'Shipments by country'!$H$2:$H1023 * ( INDEX(Countries!$S$2:$S1023, MATCH('Shipments by country'!$B$2:$B1023, Countries!$A$2:$A1023, 0) ) / 1000000 ) * 'Shipments by country'!$J$2:$J1023, ('Shipments by country'!$E$2:$E1023 &lt; NOW()) "&amp;"* ('Shipments by country'!$I$2:$I1023 &gt; 0) * ('Shipments by country'!$B$2:$B1023 = $A24) ) ), 0 )"),95540.26564401436)</f>
        <v>95540.26564</v>
      </c>
      <c r="AD24" s="5">
        <f>SUMIF('Shipments by country'!$B:$B,$A24,'Shipments by country'!$O:$O)</f>
        <v>3518.507111</v>
      </c>
      <c r="AE24" s="5">
        <f>IFERROR(__xludf.DUMMYFUNCTION("IFERROR( SUM( FILTER( 'Shipments by country'!$H$2:$H1023 * ( INDEX(Countries!$T$2:$T1023, MATCH('Shipments by country'!$B$2:$B1023, Countries!$A$2:$A1023, 0) ) / 1000000 ) * 'Shipments by country'!$J$2:$J1023, ('Shipments by country'!$E$2:$E1023 &lt; NOW()) "&amp;"* ('Shipments by country'!$I$2:$I1023 &gt; 0) * ('Shipments by country'!$B$2:$B1023 = $A24) ) ), 0 )"),189.5227728841236)</f>
        <v>189.5227729</v>
      </c>
      <c r="AF24" s="5">
        <f>SUMIF('Shipments by country'!$B:$B,$A24,'Shipments by country'!$P:$P)</f>
        <v>18247.93064</v>
      </c>
      <c r="AG24" s="5">
        <f>IFERROR(__xludf.DUMMYFUNCTION("IFERROR(
  SUM(
    FILTER(
      'Shipments by country'!$H$2:$H1023                                *
      INDEX(Countries!$S$2:$S1023,
            MATCH('Shipments by country'!$B$2:$B1023, Countries!$A$2:$A1023, 0)
           ) / 1000000                "&amp;"                                 *
      'Shipments by country'!$J$2:$J1023,
      ( 'Shipments by country'!$E$2:$E1023 &lt;  NOW()           )        *
      ( 'Shipments by country'!$I$2:$I1023 &gt; 0.25             )        *
      ( 'Shipments by country'!$"&amp;"B$2:$B1023 =  $A24             )
    )
  ),
  0
)
"),85405.03343468513)</f>
        <v>85405.03343</v>
      </c>
      <c r="AH24" s="5">
        <f>SUMIF('Shipments by country'!$B:$B,$A24,'Shipments by country'!$Q:$Q)</f>
        <v>3931.766406</v>
      </c>
      <c r="AI24" s="26">
        <f>IFERROR(__xludf.DUMMYFUNCTION("IFERROR(
  SUM(
    FILTER(
      'Shipments by country'!$H$2:$H1023
        * ( INDEX(Countries!$T$2:$T1023,
                 MATCH('Shipments by country'!$B$2:$B1023, Countries!$A$2:$A1023, 0)
               ) / 1000000 )
        * 'Shipments by country"&amp;"'!$J$2:$J1023,
      ('Shipments by country'!$E$2:$E1023 &lt; NOW()) *
      ('Shipments by country'!$I$2:$I1023 &gt; 0.25) *
      ('Shipments by country'!$B$2:$B1023 = $A24)
    )
  ),
  0
)
"),169.41756070799542)</f>
        <v>169.4175607</v>
      </c>
      <c r="AJ24" s="5">
        <f>SUMIF('Shipments by country'!$B:$B,$A24,'Shipments by country'!$R:$R)</f>
        <v>13.69938896</v>
      </c>
      <c r="AK24" s="26">
        <f t="shared" si="10"/>
        <v>23331605.6</v>
      </c>
      <c r="AL24" s="27">
        <f>AK24*'Vaccine pricing'!B3</f>
        <v>69761500.74</v>
      </c>
      <c r="AM24" s="28">
        <f>IF($A24="","",
 LET(
  ctry,$A24,
  ctryCol,'Shipments by country'!$B$2:$B1023,
  vaccCol,'Shipments by country'!$C$2:$C1023,
  finCol,'Shipments by country'!$D$2:$D1023,
  doseCol,'Shipments by country'!$F$2:$F1023,
  price,IFERROR(VLOOKUP(vaccCol,'Vaccine pricing'!$A$2:$B1023,2,FALSE),0),
  totCost,SUMPRODUCT((ctryCol=ctry)*doseCol*price),
  gaviCost,SUMPRODUCT((ctryCol=ctry)*(finCol="Gavi")*doseCol*price),
  IF(totCost=0,"",gaviCost/totCost)
 ))
</f>
        <v>0.8976255936</v>
      </c>
      <c r="AN24" s="24">
        <v>4.0</v>
      </c>
      <c r="AO24" s="27">
        <v>3.4880750372E7</v>
      </c>
      <c r="AP24" s="24">
        <v>2097.0</v>
      </c>
      <c r="AQ24" s="29">
        <f>'Vaccine pricing'!$B$3*4/((S24/1000000)*'Vaccine efficacy curves'!$C$3)</f>
        <v>267.8850686</v>
      </c>
      <c r="AR24" s="29">
        <f>'Vaccine pricing'!$B$3*4/((T24/1000000)*'Vaccine efficacy curves'!$C$3)</f>
        <v>76883.83155</v>
      </c>
      <c r="AS24" s="24">
        <f t="shared" si="11"/>
        <v>1407339.2</v>
      </c>
      <c r="AT24" s="24">
        <f t="shared" si="12"/>
        <v>5629356.8</v>
      </c>
      <c r="AU24" s="30">
        <f>AT24*'Vaccine pricing'!B3</f>
        <v>16831776.83</v>
      </c>
      <c r="AV24" s="24">
        <f t="shared" si="13"/>
        <v>3635626.267</v>
      </c>
      <c r="AW24" s="25">
        <f t="shared" si="14"/>
        <v>0.1375622694</v>
      </c>
      <c r="AX24" s="24">
        <f t="shared" si="15"/>
        <v>3135501.267</v>
      </c>
      <c r="AY24" s="25">
        <f t="shared" si="16"/>
        <v>0.8624377306</v>
      </c>
      <c r="AZ24" s="24">
        <f t="shared" si="17"/>
        <v>12542005.07</v>
      </c>
      <c r="BA24" s="30">
        <f>AZ24*'Vaccine pricing'!B3</f>
        <v>37500595.15</v>
      </c>
      <c r="BB24" s="30">
        <v>1.8750297574666668E7</v>
      </c>
    </row>
    <row r="25" ht="22.5" customHeight="1">
      <c r="A25" s="3" t="s">
        <v>101</v>
      </c>
      <c r="B25" s="20">
        <f>SUMIFS('Shipments by country'!F:F, 
        'Shipments by country'!B:B, A25, 
        'Shipments by country'!C:C, "RTS,S", 
        'Shipments by country'!G:G, "Delivered")
</f>
        <v>371900</v>
      </c>
      <c r="C25" s="4">
        <f>SUMIFS('Shipments by country'!F:F, 
        'Shipments by country'!B:B, A25, 
        'Shipments by country'!C:C, "R21", 
        'Shipments by country'!G:G, "Delivered")
</f>
        <v>0</v>
      </c>
      <c r="D25" s="20">
        <f t="shared" si="1"/>
        <v>371900</v>
      </c>
      <c r="E25" s="4">
        <f>SUMIFS('Shipments by country'!F:F, 
        'Shipments by country'!B:B, A25, 
        'Shipments by country'!C:C, "RTS,S")
</f>
        <v>380150</v>
      </c>
      <c r="F25" s="4">
        <f>SUMIFS('Shipments by country'!F:F, 
        'Shipments by country'!B:B, A25, 
        'Shipments by country'!C:C, "R21")
</f>
        <v>0</v>
      </c>
      <c r="G25" s="4">
        <f t="shared" si="2"/>
        <v>380150</v>
      </c>
      <c r="H25" s="21" t="s">
        <v>80</v>
      </c>
      <c r="I25" s="6">
        <v>1.5E7</v>
      </c>
      <c r="J25" s="21">
        <v>5493031.0</v>
      </c>
      <c r="K25" s="23">
        <v>772932.0</v>
      </c>
      <c r="L25" s="23">
        <f t="shared" si="3"/>
        <v>695638.8</v>
      </c>
      <c r="M25" s="24">
        <f t="shared" si="4"/>
        <v>95037.5</v>
      </c>
      <c r="N25" s="25">
        <f t="shared" si="5"/>
        <v>0.1366190328</v>
      </c>
      <c r="O25" s="23">
        <f t="shared" si="6"/>
        <v>600601.3</v>
      </c>
      <c r="P25" s="25">
        <f t="shared" si="7"/>
        <v>0.8633809672</v>
      </c>
      <c r="Q25" s="6">
        <v>1026103.0</v>
      </c>
      <c r="R25" s="6">
        <v>3541.0</v>
      </c>
      <c r="S25" s="24">
        <f t="shared" si="8"/>
        <v>186800.8755</v>
      </c>
      <c r="T25" s="24">
        <f t="shared" si="9"/>
        <v>644.634993</v>
      </c>
      <c r="U25" s="5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$A25) ) ), 0 )"),18813.029904182167)</f>
        <v>18813.0299</v>
      </c>
      <c r="V25" s="5">
        <f>SUMIF('Shipments by country'!$B:$B,$A25,'Shipments by country'!$K:$K)</f>
        <v>184.2091456</v>
      </c>
      <c r="W25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$A25) ) ), 0 )"),37.31931840212465)</f>
        <v>37.3193184</v>
      </c>
      <c r="X25" s="5">
        <f>SUMIF('Shipments by country'!$B:$B,$A25,'Shipments by country'!$L:$L)</f>
        <v>9717.715241</v>
      </c>
      <c r="Y25" s="6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$A25) ) ), 0 )"),18404.750286374714)</f>
        <v>18404.75029</v>
      </c>
      <c r="Z25" s="5">
        <f>SUMIF('Shipments by country'!$B:$B,$A25,'Shipments by country'!$M:$M)</f>
        <v>137.6197715</v>
      </c>
      <c r="AA25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$A25) ) ), 0 )"),36.50941605616245)</f>
        <v>36.50941606</v>
      </c>
      <c r="AB25" s="5">
        <f>SUMIF('Shipments by country'!$B:$B,$A25,'Shipments by country'!$N:$N)</f>
        <v>7259.953063</v>
      </c>
      <c r="AC25" s="5">
        <f>IFERROR(__xludf.DUMMYFUNCTION("IFERROR( SUM( FILTER( 'Shipments by country'!$H$2:$H1023 * ( INDEX(Countries!$S$2:$S1023, MATCH('Shipments by country'!$B$2:$B1023, Countries!$A$2:$A1023, 0) ) / 1000000 ) * 'Shipments by country'!$J$2:$J1023, ('Shipments by country'!$E$2:$E1023 &lt; NOW()) "&amp;"* ('Shipments by country'!$I$2:$I1023 &gt; 0) * ('Shipments by country'!$B$2:$B1023 = $A25) ) ), 0 )"),18235.079968274822)</f>
        <v>18235.07997</v>
      </c>
      <c r="AD25" s="5">
        <f>SUMIF('Shipments by country'!$B:$B,$A25,'Shipments by country'!$O:$O)</f>
        <v>179.3845692</v>
      </c>
      <c r="AE25" s="5">
        <f>IFERROR(__xludf.DUMMYFUNCTION("IFERROR( SUM( FILTER( 'Shipments by country'!$H$2:$H1023 * ( INDEX(Countries!$T$2:$T1023, MATCH('Shipments by country'!$B$2:$B1023, Countries!$A$2:$A1023, 0) ) / 1000000 ) * 'Shipments by country'!$J$2:$J1023, ('Shipments by country'!$E$2:$E1023 &lt; NOW()) "&amp;"* ('Shipments by country'!$I$2:$I1023 &gt; 0) * ('Shipments by country'!$B$2:$B1023 = $A25) ) ), 0 )"),36.17284184898746)</f>
        <v>36.17284185</v>
      </c>
      <c r="AF25" s="5">
        <f>SUMIF('Shipments by country'!$B:$B,$A25,'Shipments by country'!$P:$P)</f>
        <v>9463.200954</v>
      </c>
      <c r="AG25" s="5">
        <f>IFERROR(__xludf.DUMMYFUNCTION("IFERROR(
  SUM(
    FILTER(
      'Shipments by country'!$H$2:$H1023                                *
      INDEX(Countries!$S$2:$S1023,
            MATCH('Shipments by country'!$B$2:$B1023, Countries!$A$2:$A1023, 0)
           ) / 1000000                "&amp;"                                 *
      'Shipments by country'!$J$2:$J1023,
      ( 'Shipments by country'!$E$2:$E1023 &lt;  NOW()           )        *
      ( 'Shipments by country'!$I$2:$I1023 &gt; 0.25             )        *
      ( 'Shipments by country'!$"&amp;"B$2:$B1023 =  $A25             )
    )
  ),
  0
)
"),17826.80035046737)</f>
        <v>17826.80035</v>
      </c>
      <c r="AH25" s="5">
        <f>SUMIF('Shipments by country'!$B:$B,$A25,'Shipments by country'!$Q:$Q)</f>
        <v>2379.30581</v>
      </c>
      <c r="AI25" s="26">
        <f>IFERROR(__xludf.DUMMYFUNCTION("IFERROR(
  SUM(
    FILTER(
      'Shipments by country'!$H$2:$H1023
        * ( INDEX(Countries!$T$2:$T1023,
                 MATCH('Shipments by country'!$B$2:$B1023, Countries!$A$2:$A1023, 0)
               ) / 1000000 )
        * 'Shipments by country"&amp;"'!$J$2:$J1023,
      ('Shipments by country'!$E$2:$E1023 &lt; NOW()) *
      ('Shipments by country'!$I$2:$I1023 &gt; 0.25) *
      ('Shipments by country'!$B$2:$B1023 = $A25)
    )
  ),
  0
)
"),35.36293950302526)</f>
        <v>35.3629395</v>
      </c>
      <c r="AJ25" s="5">
        <f>SUMIF('Shipments by country'!$B:$B,$A25,'Shipments by country'!$R:$R)</f>
        <v>8.210795479</v>
      </c>
      <c r="AK25" s="26">
        <f t="shared" si="10"/>
        <v>2402405.2</v>
      </c>
      <c r="AL25" s="27">
        <f>AK25*'Vaccine pricing'!B3</f>
        <v>7183191.548</v>
      </c>
      <c r="AM25" s="28">
        <f>IF($A25="","",
 LET(
  ctry,$A25,
  ctryCol,'Shipments by country'!$B$2:$B1023,
  vaccCol,'Shipments by country'!$C$2:$C1023,
  finCol,'Shipments by country'!$D$2:$D1023,
  doseCol,'Shipments by country'!$F$2:$F1023,
  price,IFERROR(VLOOKUP(vaccCol,'Vaccine pricing'!$A$2:$B1023,2,FALSE),0),
  totCost,SUMPRODUCT((ctryCol=ctry)*doseCol*price),
  gaviCost,SUMPRODUCT((ctryCol=ctry)*(finCol="Gavi")*doseCol*price),
  IF(totCost=0,"",gaviCost/totCost)
 ))
</f>
        <v>0.9782980402</v>
      </c>
      <c r="AN25" s="24">
        <v>11.0</v>
      </c>
      <c r="AO25" s="27">
        <v>480481.04000000004</v>
      </c>
      <c r="AP25" s="24">
        <v>677.0</v>
      </c>
      <c r="AQ25" s="29">
        <f>'Vaccine pricing'!$B$3*4/((S25/1000000)*'Vaccine efficacy curves'!$C$3)</f>
        <v>85.36719447</v>
      </c>
      <c r="AR25" s="29">
        <f>'Vaccine pricing'!$B$3*4/((T25/1000000)*'Vaccine efficacy curves'!$C$3)</f>
        <v>24737.51323</v>
      </c>
      <c r="AS25" s="24">
        <f t="shared" si="11"/>
        <v>154586.4</v>
      </c>
      <c r="AT25" s="24">
        <f t="shared" si="12"/>
        <v>618345.6</v>
      </c>
      <c r="AU25" s="30">
        <f>AT25*'Vaccine pricing'!B3</f>
        <v>1848853.344</v>
      </c>
      <c r="AV25" s="24">
        <f t="shared" si="13"/>
        <v>399348.2</v>
      </c>
      <c r="AW25" s="25">
        <f t="shared" si="14"/>
        <v>0.2379815409</v>
      </c>
      <c r="AX25" s="24">
        <f t="shared" si="15"/>
        <v>304310.7</v>
      </c>
      <c r="AY25" s="25">
        <f t="shared" si="16"/>
        <v>0.7620184591</v>
      </c>
      <c r="AZ25" s="24">
        <f t="shared" si="17"/>
        <v>1217242.8</v>
      </c>
      <c r="BA25" s="30">
        <f>AZ25*'Vaccine pricing'!B3</f>
        <v>3639555.972</v>
      </c>
      <c r="BB25" s="30">
        <v>243448.56000000003</v>
      </c>
    </row>
    <row r="26" ht="22.5" customHeight="1">
      <c r="A26" s="3" t="s">
        <v>102</v>
      </c>
      <c r="B26" s="20">
        <f>SUMIFS('Shipments by country'!F:F, 
        'Shipments by country'!B:B, A26, 
        'Shipments by country'!C:C, "RTS,S", 
        'Shipments by country'!G:G, "Delivered")
</f>
        <v>0</v>
      </c>
      <c r="C26" s="4">
        <f>SUMIFS('Shipments by country'!F:F, 
        'Shipments by country'!B:B, A26, 
        'Shipments by country'!C:C, "R21", 
        'Shipments by country'!G:G, "Delivered")
</f>
        <v>0</v>
      </c>
      <c r="D26" s="20">
        <f t="shared" si="1"/>
        <v>0</v>
      </c>
      <c r="E26" s="4">
        <f>SUMIFS('Shipments by country'!F:F, 
        'Shipments by country'!B:B, A26, 
        'Shipments by country'!C:C, "RTS,S")
</f>
        <v>0</v>
      </c>
      <c r="F26" s="4">
        <f>SUMIFS('Shipments by country'!F:F, 
        'Shipments by country'!B:B, A26, 
        'Shipments by country'!C:C, "R21")
</f>
        <v>0</v>
      </c>
      <c r="G26" s="4">
        <f t="shared" si="2"/>
        <v>0</v>
      </c>
      <c r="H26" s="21" t="s">
        <v>80</v>
      </c>
      <c r="I26" s="6">
        <v>2.6E7</v>
      </c>
      <c r="J26" s="21">
        <v>3.1195932E7</v>
      </c>
      <c r="K26" s="23">
        <v>4588132.0</v>
      </c>
      <c r="L26" s="23">
        <f t="shared" si="3"/>
        <v>4129318.8</v>
      </c>
      <c r="M26" s="24">
        <f t="shared" si="4"/>
        <v>0</v>
      </c>
      <c r="N26" s="25">
        <f t="shared" si="5"/>
        <v>0</v>
      </c>
      <c r="O26" s="23">
        <f t="shared" si="6"/>
        <v>4129318.8</v>
      </c>
      <c r="P26" s="25">
        <f t="shared" si="7"/>
        <v>1</v>
      </c>
      <c r="Q26" s="6">
        <v>6239943.0</v>
      </c>
      <c r="R26" s="6">
        <v>15974.0</v>
      </c>
      <c r="S26" s="24">
        <f t="shared" si="8"/>
        <v>200024.2532</v>
      </c>
      <c r="T26" s="24">
        <f t="shared" si="9"/>
        <v>512.0539434</v>
      </c>
      <c r="U26" s="5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$A26) ) ), 0 )"),0.0)</f>
        <v>0</v>
      </c>
      <c r="V26" s="5">
        <f>SUMIF('Shipments by country'!$B:$B,$A26,'Shipments by country'!$K:$K)</f>
        <v>0</v>
      </c>
      <c r="W26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$A26) ) ), 0 )"),0.0)</f>
        <v>0</v>
      </c>
      <c r="X26" s="5">
        <f>SUMIF('Shipments by country'!$B:$B,$A26,'Shipments by country'!$L:$L)</f>
        <v>0</v>
      </c>
      <c r="Y26" s="6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$A26) ) ), 0 )"),0.0)</f>
        <v>0</v>
      </c>
      <c r="Z26" s="5">
        <f>SUMIF('Shipments by country'!$B:$B,$A26,'Shipments by country'!$M:$M)</f>
        <v>0</v>
      </c>
      <c r="AA26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$A26) ) ), 0 )"),0.0)</f>
        <v>0</v>
      </c>
      <c r="AB26" s="5">
        <f>SUMIF('Shipments by country'!$B:$B,$A26,'Shipments by country'!$N:$N)</f>
        <v>0</v>
      </c>
      <c r="AC26" s="5">
        <f>IFERROR(__xludf.DUMMYFUNCTION("IFERROR( SUM( FILTER( 'Shipments by country'!$H$2:$H1023 * ( INDEX(Countries!$S$2:$S1023, MATCH('Shipments by country'!$B$2:$B1023, Countries!$A$2:$A1023, 0) ) / 1000000 ) * 'Shipments by country'!$J$2:$J1023, ('Shipments by country'!$E$2:$E1023 &lt; NOW()) "&amp;"* ('Shipments by country'!$I$2:$I1023 &gt; 0) * ('Shipments by country'!$B$2:$B1023 = $A26) ) ), 0 )"),0.0)</f>
        <v>0</v>
      </c>
      <c r="AD26" s="5">
        <f>SUMIF('Shipments by country'!$B:$B,$A26,'Shipments by country'!$O:$O)</f>
        <v>0</v>
      </c>
      <c r="AE26" s="5">
        <f>IFERROR(__xludf.DUMMYFUNCTION("IFERROR( SUM( FILTER( 'Shipments by country'!$H$2:$H1023 * ( INDEX(Countries!$T$2:$T1023, MATCH('Shipments by country'!$B$2:$B1023, Countries!$A$2:$A1023, 0) ) / 1000000 ) * 'Shipments by country'!$J$2:$J1023, ('Shipments by country'!$E$2:$E1023 &lt; NOW()) "&amp;"* ('Shipments by country'!$I$2:$I1023 &gt; 0) * ('Shipments by country'!$B$2:$B1023 = $A26) ) ), 0 )"),0.0)</f>
        <v>0</v>
      </c>
      <c r="AF26" s="5">
        <f>SUMIF('Shipments by country'!$B:$B,$A26,'Shipments by country'!$P:$P)</f>
        <v>0</v>
      </c>
      <c r="AG26" s="5">
        <f>IFERROR(__xludf.DUMMYFUNCTION("IFERROR(
  SUM(
    FILTER(
      'Shipments by country'!$H$2:$H1023                                *
      INDEX(Countries!$S$2:$S1023,
            MATCH('Shipments by country'!$B$2:$B1023, Countries!$A$2:$A1023, 0)
           ) / 1000000                "&amp;"                                 *
      'Shipments by country'!$J$2:$J1023,
      ( 'Shipments by country'!$E$2:$E1023 &lt;  NOW()           )        *
      ( 'Shipments by country'!$I$2:$I1023 &gt; 0.25             )        *
      ( 'Shipments by country'!$"&amp;"B$2:$B1023 =  $A26             )
    )
  ),
  0
)
"),0.0)</f>
        <v>0</v>
      </c>
      <c r="AH26" s="5">
        <f>SUMIF('Shipments by country'!$B:$B,$A26,'Shipments by country'!$Q:$Q)</f>
        <v>0</v>
      </c>
      <c r="AI26" s="26">
        <f>IFERROR(__xludf.DUMMYFUNCTION("IFERROR(
  SUM(
    FILTER(
      'Shipments by country'!$H$2:$H1023
        * ( INDEX(Countries!$T$2:$T1023,
                 MATCH('Shipments by country'!$B$2:$B1023, Countries!$A$2:$A1023, 0)
               ) / 1000000 )
        * 'Shipments by country"&amp;"'!$J$2:$J1023,
      ('Shipments by country'!$E$2:$E1023 &lt; NOW()) *
      ('Shipments by country'!$I$2:$I1023 &gt; 0.25) *
      ('Shipments by country'!$B$2:$B1023 = $A26)
    )
  ),
  0
)
"),0.0)</f>
        <v>0</v>
      </c>
      <c r="AJ26" s="5">
        <f>SUMIF('Shipments by country'!$B:$B,$A26,'Shipments by country'!$R:$R)</f>
        <v>0</v>
      </c>
      <c r="AK26" s="26">
        <f t="shared" si="10"/>
        <v>16517275.2</v>
      </c>
      <c r="AL26" s="27">
        <f>AK26*'Vaccine pricing'!B3</f>
        <v>49386652.85</v>
      </c>
      <c r="AM26" s="28" t="str">
        <f>IF($A26="","",
 LET(
  ctry,$A26,
  ctryCol,'Shipments by country'!$B$2:$B1023,
  vaccCol,'Shipments by country'!$C$2:$C1023,
  finCol,'Shipments by country'!$D$2:$D1023,
  doseCol,'Shipments by country'!$F$2:$F1023,
  price,IFERROR(VLOOKUP(vaccCol,'Vaccine pricing'!$A$2:$B1023,2,FALSE),0),
  totCost,SUMPRODUCT((ctryCol=ctry)*doseCol*price),
  gaviCost,SUMPRODUCT((ctryCol=ctry)*(finCol="Gavi")*doseCol*price),
  IF(totCost=0,"",gaviCost/totCost)
 ))
</f>
        <v/>
      </c>
      <c r="AN26" s="24">
        <v>11.0</v>
      </c>
      <c r="AO26" s="27">
        <v>3303455.0400000005</v>
      </c>
      <c r="AP26" s="24">
        <v>513.0</v>
      </c>
      <c r="AQ26" s="29">
        <f>'Vaccine pricing'!$B$3*4/((S26/1000000)*'Vaccine efficacy curves'!$C$3)</f>
        <v>79.72366558</v>
      </c>
      <c r="AR26" s="29">
        <f>'Vaccine pricing'!$B$3*4/((T26/1000000)*'Vaccine efficacy curves'!$C$3)</f>
        <v>31142.55221</v>
      </c>
      <c r="AS26" s="24">
        <f t="shared" si="11"/>
        <v>917626.4</v>
      </c>
      <c r="AT26" s="24">
        <f t="shared" si="12"/>
        <v>3670505.6</v>
      </c>
      <c r="AU26" s="30">
        <f>AT26*'Vaccine pricing'!B3</f>
        <v>10974811.74</v>
      </c>
      <c r="AV26" s="24">
        <f t="shared" si="13"/>
        <v>2370534.867</v>
      </c>
      <c r="AW26" s="25">
        <f t="shared" si="14"/>
        <v>0</v>
      </c>
      <c r="AX26" s="24">
        <f t="shared" si="15"/>
        <v>2370534.867</v>
      </c>
      <c r="AY26" s="25">
        <f t="shared" si="16"/>
        <v>1</v>
      </c>
      <c r="AZ26" s="24">
        <f t="shared" si="17"/>
        <v>9482139.467</v>
      </c>
      <c r="BA26" s="30">
        <f>AZ26*'Vaccine pricing'!B3</f>
        <v>28351597.01</v>
      </c>
      <c r="BB26" s="30">
        <v>1896427.8933333335</v>
      </c>
    </row>
    <row r="27" ht="22.5" customHeight="1">
      <c r="A27" s="3" t="s">
        <v>103</v>
      </c>
      <c r="B27" s="20">
        <f>SUMIFS('Shipments by country'!F:F, 
        'Shipments by country'!B:B, A27, 
        'Shipments by country'!C:C, "RTS,S", 
        'Shipments by country'!G:G, "Delivered")
</f>
        <v>2223450</v>
      </c>
      <c r="C27" s="4">
        <f>SUMIFS('Shipments by country'!F:F, 
        'Shipments by country'!B:B, A27, 
        'Shipments by country'!C:C, "R21", 
        'Shipments by country'!G:G, "Delivered")
</f>
        <v>0</v>
      </c>
      <c r="D27" s="20">
        <f t="shared" si="1"/>
        <v>2223450</v>
      </c>
      <c r="E27" s="4">
        <f>SUMIFS('Shipments by country'!F:F, 
        'Shipments by country'!B:B, A27, 
        'Shipments by country'!C:C, "RTS,S")
</f>
        <v>2250050</v>
      </c>
      <c r="F27" s="4">
        <f>SUMIFS('Shipments by country'!F:F, 
        'Shipments by country'!B:B, A27, 
        'Shipments by country'!C:C, "R21")
</f>
        <v>0</v>
      </c>
      <c r="G27" s="4">
        <f t="shared" si="2"/>
        <v>2250050</v>
      </c>
      <c r="H27" s="21" t="s">
        <v>80</v>
      </c>
      <c r="I27" s="6">
        <v>2.4E7</v>
      </c>
      <c r="J27" s="21">
        <v>2.1104482E7</v>
      </c>
      <c r="K27" s="23">
        <v>3079812.0</v>
      </c>
      <c r="L27" s="23">
        <f t="shared" si="3"/>
        <v>2771830.8</v>
      </c>
      <c r="M27" s="24">
        <f t="shared" si="4"/>
        <v>562512.5</v>
      </c>
      <c r="N27" s="25">
        <f t="shared" si="5"/>
        <v>0.2029389745</v>
      </c>
      <c r="O27" s="23">
        <f t="shared" si="6"/>
        <v>2209318.3</v>
      </c>
      <c r="P27" s="25">
        <f t="shared" si="7"/>
        <v>0.7970610255</v>
      </c>
      <c r="Q27" s="6">
        <v>4810053.0</v>
      </c>
      <c r="R27" s="6">
        <v>7376.0</v>
      </c>
      <c r="S27" s="24">
        <f t="shared" si="8"/>
        <v>227916.1839</v>
      </c>
      <c r="T27" s="24">
        <f t="shared" si="9"/>
        <v>349.4992201</v>
      </c>
      <c r="U27" s="5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$A27) ) ), 0 )"),110035.06863199746)</f>
        <v>110035.0686</v>
      </c>
      <c r="V27" s="5">
        <f>SUMIF('Shipments by country'!$B:$B,$A27,'Shipments by country'!$K:$K)</f>
        <v>2039.326185</v>
      </c>
      <c r="W27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$A27) ) ), 0 )"),218.27604498541115)</f>
        <v>218.276045</v>
      </c>
      <c r="X27" s="5">
        <f>SUMIF('Shipments by country'!$B:$B,$A27,'Shipments by country'!$L:$L)</f>
        <v>63014.56641</v>
      </c>
      <c r="Y27" s="6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$A27) ) ), 0 )"),110035.06863199746)</f>
        <v>110035.0686</v>
      </c>
      <c r="Z27" s="5">
        <f>SUMIF('Shipments by country'!$B:$B,$A27,'Shipments by country'!$M:$M)</f>
        <v>1465.320333</v>
      </c>
      <c r="AA27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$A27) ) ), 0 )"),218.27604498541115)</f>
        <v>218.276045</v>
      </c>
      <c r="AB27" s="5">
        <f>SUMIF('Shipments by country'!$B:$B,$A27,'Shipments by country'!$N:$N)</f>
        <v>45277.95805</v>
      </c>
      <c r="AC27" s="5">
        <f>IFERROR(__xludf.DUMMYFUNCTION("IFERROR( SUM( FILTER( 'Shipments by country'!$H$2:$H1023 * ( INDEX(Countries!$S$2:$S1023, MATCH('Shipments by country'!$B$2:$B1023, Countries!$A$2:$A1023, 0) ) / 1000000 ) * 'Shipments by country'!$J$2:$J1023, ('Shipments by country'!$E$2:$E1023 &lt; NOW()) "&amp;"* ('Shipments by country'!$I$2:$I1023 &gt; 0) * ('Shipments by country'!$B$2:$B1023 = $A27) ) ), 0 )"),106859.80434981213)</f>
        <v>106859.8043</v>
      </c>
      <c r="AD27" s="5">
        <f>SUMIF('Shipments by country'!$B:$B,$A27,'Shipments by country'!$O:$O)</f>
        <v>1984.11287</v>
      </c>
      <c r="AE27" s="5">
        <f>IFERROR(__xludf.DUMMYFUNCTION("IFERROR( SUM( FILTER( 'Shipments by country'!$H$2:$H1023 * ( INDEX(Countries!$T$2:$T1023, MATCH('Shipments by country'!$B$2:$B1023, Countries!$A$2:$A1023, 0) ) / 1000000 ) * 'Shipments by country'!$J$2:$J1023, ('Shipments by country'!$E$2:$E1023 &lt; NOW()) "&amp;"* ('Shipments by country'!$I$2:$I1023 &gt; 0) * ('Shipments by country'!$B$2:$B1023 = $A27) ) ), 0 )"),211.9772882534386)</f>
        <v>211.9772883</v>
      </c>
      <c r="AF27" s="5">
        <f>SUMIF('Shipments by country'!$B:$B,$A27,'Shipments by country'!$P:$P)</f>
        <v>61308.49156</v>
      </c>
      <c r="AG27" s="5">
        <f>IFERROR(__xludf.DUMMYFUNCTION("IFERROR(
  SUM(
    FILTER(
      'Shipments by country'!$H$2:$H1023                                *
      INDEX(Countries!$S$2:$S1023,
            MATCH('Shipments by country'!$B$2:$B1023, Countries!$A$2:$A1023, 0)
           ) / 1000000                "&amp;"                                 *
      'Shipments by country'!$J$2:$J1023,
      ( 'Shipments by country'!$E$2:$E1023 &lt;  NOW()           )        *
      ( 'Shipments by country'!$I$2:$I1023 &gt; 0.25             )        *
      ( 'Shipments by country'!$"&amp;"B$2:$B1023 =  $A27             )
    )
  ),
  0
)
"),106859.80434981214)</f>
        <v>106859.8043</v>
      </c>
      <c r="AH27" s="5">
        <f>SUMIF('Shipments by country'!$B:$B,$A27,'Shipments by country'!$Q:$Q)</f>
        <v>16927.18228</v>
      </c>
      <c r="AI27" s="26">
        <f>IFERROR(__xludf.DUMMYFUNCTION("IFERROR(
  SUM(
    FILTER(
      'Shipments by country'!$H$2:$H1023
        * ( INDEX(Countries!$T$2:$T1023,
                 MATCH('Shipments by country'!$B$2:$B1023, Countries!$A$2:$A1023, 0)
               ) / 1000000 )
        * 'Shipments by country"&amp;"'!$J$2:$J1023,
      ('Shipments by country'!$E$2:$E1023 &lt; NOW()) *
      ('Shipments by country'!$I$2:$I1023 &gt; 0.25) *
      ('Shipments by country'!$B$2:$B1023 = $A27)
    )
  ),
  0
)
"),211.9772882534386)</f>
        <v>211.9772883</v>
      </c>
      <c r="AJ27" s="5">
        <f>SUMIF('Shipments by country'!$B:$B,$A27,'Shipments by country'!$R:$R)</f>
        <v>25.95707292</v>
      </c>
      <c r="AK27" s="26">
        <f t="shared" si="10"/>
        <v>8837273.2</v>
      </c>
      <c r="AL27" s="27">
        <f>AK27*'Vaccine pricing'!B3</f>
        <v>26423446.87</v>
      </c>
      <c r="AM27" s="28">
        <f>IF($A27="","",
 LET(
  ctry,$A27,
  ctryCol,'Shipments by country'!$B$2:$B1023,
  vaccCol,'Shipments by country'!$C$2:$C1023,
  finCol,'Shipments by country'!$D$2:$D1023,
  doseCol,'Shipments by country'!$F$2:$F1023,
  price,IFERROR(VLOOKUP(vaccCol,'Vaccine pricing'!$A$2:$B1023,2,FALSE),0),
  totCost,SUMPRODUCT((ctryCol=ctry)*doseCol*price),
  gaviCost,SUMPRODUCT((ctryCol=ctry)*(finCol="Gavi")*doseCol*price),
  IF(totCost=0,"",gaviCost/totCost)
 ))
</f>
        <v>0.9785560321</v>
      </c>
      <c r="AN27" s="24">
        <v>11.0</v>
      </c>
      <c r="AO27" s="27">
        <v>1767454.6400000004</v>
      </c>
      <c r="AP27" s="24">
        <v>637.0</v>
      </c>
      <c r="AQ27" s="29">
        <f>'Vaccine pricing'!$B$3*4/((S27/1000000)*'Vaccine efficacy curves'!$C$3)</f>
        <v>69.96724145</v>
      </c>
      <c r="AR27" s="29">
        <f>'Vaccine pricing'!$B$3*4/((T27/1000000)*'Vaccine efficacy curves'!$C$3)</f>
        <v>45627.18813</v>
      </c>
      <c r="AS27" s="24">
        <f t="shared" si="11"/>
        <v>615962.4</v>
      </c>
      <c r="AT27" s="24">
        <f t="shared" si="12"/>
        <v>2463849.6</v>
      </c>
      <c r="AU27" s="30">
        <f>AT27*'Vaccine pricing'!B3</f>
        <v>7366910.304</v>
      </c>
      <c r="AV27" s="24">
        <f t="shared" si="13"/>
        <v>1591236.2</v>
      </c>
      <c r="AW27" s="25">
        <f t="shared" si="14"/>
        <v>0.3535066007</v>
      </c>
      <c r="AX27" s="24">
        <f t="shared" si="15"/>
        <v>1028723.7</v>
      </c>
      <c r="AY27" s="25">
        <f t="shared" si="16"/>
        <v>0.6464933993</v>
      </c>
      <c r="AZ27" s="24">
        <f t="shared" si="17"/>
        <v>4114894.8</v>
      </c>
      <c r="BA27" s="30">
        <f>AZ27*'Vaccine pricing'!B3</f>
        <v>12303535.45</v>
      </c>
      <c r="BB27" s="30">
        <v>822978.96</v>
      </c>
    </row>
    <row r="28" ht="22.5" customHeight="1">
      <c r="A28" s="3" t="s">
        <v>104</v>
      </c>
      <c r="B28" s="20">
        <f>SUMIFS('Shipments by country'!F:F, 
        'Shipments by country'!B:B, A28, 
        'Shipments by country'!C:C, "RTS,S", 
        'Shipments by country'!G:G, "Delivered")
</f>
        <v>0</v>
      </c>
      <c r="C28" s="4">
        <f>SUMIFS('Shipments by country'!F:F, 
        'Shipments by country'!B:B, A28, 
        'Shipments by country'!C:C, "R21", 
        'Shipments by country'!G:G, "Delivered")
</f>
        <v>927800</v>
      </c>
      <c r="D28" s="20">
        <f t="shared" si="1"/>
        <v>927800</v>
      </c>
      <c r="E28" s="4">
        <f>SUMIFS('Shipments by country'!F:F, 
        'Shipments by country'!B:B, A28, 
        'Shipments by country'!C:C, "RTS,S")
</f>
        <v>0</v>
      </c>
      <c r="F28" s="4">
        <f>SUMIFS('Shipments by country'!F:F, 
        'Shipments by country'!B:B, A28, 
        'Shipments by country'!C:C, "R21")
</f>
        <v>975600</v>
      </c>
      <c r="G28" s="4">
        <f t="shared" si="2"/>
        <v>975600</v>
      </c>
      <c r="H28" s="21" t="s">
        <v>80</v>
      </c>
      <c r="I28" s="6">
        <v>2.5E7</v>
      </c>
      <c r="J28" s="21">
        <v>2.3769127E7</v>
      </c>
      <c r="K28" s="23">
        <v>4158173.0</v>
      </c>
      <c r="L28" s="23">
        <f t="shared" si="3"/>
        <v>3742355.7</v>
      </c>
      <c r="M28" s="24">
        <f t="shared" si="4"/>
        <v>243900</v>
      </c>
      <c r="N28" s="25">
        <f t="shared" si="5"/>
        <v>0.06517285356</v>
      </c>
      <c r="O28" s="23">
        <f t="shared" si="6"/>
        <v>3498455.7</v>
      </c>
      <c r="P28" s="25">
        <f t="shared" si="7"/>
        <v>0.9348271464</v>
      </c>
      <c r="Q28" s="6">
        <v>8229337.0</v>
      </c>
      <c r="R28" s="6">
        <v>14203.0</v>
      </c>
      <c r="S28" s="24">
        <f t="shared" si="8"/>
        <v>346219.573</v>
      </c>
      <c r="T28" s="24">
        <f t="shared" si="9"/>
        <v>597.5398255</v>
      </c>
      <c r="U28" s="5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$A28) ) ), 0 )"),45915.37326081866)</f>
        <v>45915.37326</v>
      </c>
      <c r="V28" s="5">
        <f>SUMIF('Shipments by country'!$B:$B,$A28,'Shipments by country'!$K:$K)</f>
        <v>1667.28313</v>
      </c>
      <c r="W28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$A28) ) ), 0 )"),91.08210867681507)</f>
        <v>91.08210868</v>
      </c>
      <c r="X28" s="5">
        <f>SUMIF('Shipments by country'!$B:$B,$A28,'Shipments by country'!$L:$L)</f>
        <v>40642.54407</v>
      </c>
      <c r="Y28" s="6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$A28) ) ), 0 )"),45915.37326081866)</f>
        <v>45915.37326</v>
      </c>
      <c r="Z28" s="5">
        <f>SUMIF('Shipments by country'!$B:$B,$A28,'Shipments by country'!$M:$M)</f>
        <v>1049.585784</v>
      </c>
      <c r="AA28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$A28) ) ), 0 )"),91.08210867681507)</f>
        <v>91.08210868</v>
      </c>
      <c r="AB28" s="5">
        <f>SUMIF('Shipments by country'!$B:$B,$A28,'Shipments by country'!$N:$N)</f>
        <v>25585.23846</v>
      </c>
      <c r="AC28" s="5">
        <f>IFERROR(__xludf.DUMMYFUNCTION("IFERROR( SUM( FILTER( 'Shipments by country'!$H$2:$H1023 * ( INDEX(Countries!$S$2:$S1023, MATCH('Shipments by country'!$B$2:$B1023, Countries!$A$2:$A1023, 0) ) / 1000000 ) * 'Shipments by country'!$J$2:$J1023, ('Shipments by country'!$E$2:$E1023 &lt; NOW()) "&amp;"* ('Shipments by country'!$I$2:$I1023 &gt; 0) * ('Shipments by country'!$B$2:$B1023 = $A28) ) ), 0 )"),61493.8034743107)</f>
        <v>61493.80347</v>
      </c>
      <c r="AD28" s="5">
        <f>SUMIF('Shipments by country'!$B:$B,$A28,'Shipments by country'!$O:$O)</f>
        <v>1667.28313</v>
      </c>
      <c r="AE28" s="5">
        <f>IFERROR(__xludf.DUMMYFUNCTION("IFERROR( SUM( FILTER( 'Shipments by country'!$H$2:$H1023 * ( INDEX(Countries!$T$2:$T1023, MATCH('Shipments by country'!$B$2:$B1023, Countries!$A$2:$A1023, 0) ) / 1000000 ) * 'Shipments by country'!$J$2:$J1023, ('Shipments by country'!$E$2:$E1023 &lt; NOW()) "&amp;"* ('Shipments by country'!$I$2:$I1023 &gt; 0) * ('Shipments by country'!$B$2:$B1023 = $A28) ) ), 0 )"),121.9849669778773)</f>
        <v>121.984967</v>
      </c>
      <c r="AF28" s="5">
        <f>SUMIF('Shipments by country'!$B:$B,$A28,'Shipments by country'!$P:$P)</f>
        <v>40642.54407</v>
      </c>
      <c r="AG28" s="5">
        <f>IFERROR(__xludf.DUMMYFUNCTION("IFERROR(
  SUM(
    FILTER(
      'Shipments by country'!$H$2:$H1023                                *
      INDEX(Countries!$S$2:$S1023,
            MATCH('Shipments by country'!$B$2:$B1023, Countries!$A$2:$A1023, 0)
           ) / 1000000                "&amp;"                                 *
      'Shipments by country'!$J$2:$J1023,
      ( 'Shipments by country'!$E$2:$E1023 &lt;  NOW()           )        *
      ( 'Shipments by country'!$I$2:$I1023 &gt; 0.25             )        *
      ( 'Shipments by country'!$"&amp;"B$2:$B1023 =  $A28             )
    )
  ),
  0
)
"),61493.8034743107)</f>
        <v>61493.80347</v>
      </c>
      <c r="AH28" s="5">
        <f>SUMIF('Shipments by country'!$B:$B,$A28,'Shipments by country'!$Q:$Q)</f>
        <v>15057.30562</v>
      </c>
      <c r="AI28" s="26">
        <f>IFERROR(__xludf.DUMMYFUNCTION("IFERROR(
  SUM(
    FILTER(
      'Shipments by country'!$H$2:$H1023
        * ( INDEX(Countries!$T$2:$T1023,
                 MATCH('Shipments by country'!$B$2:$B1023, Countries!$A$2:$A1023, 0)
               ) / 1000000 )
        * 'Shipments by country"&amp;"'!$J$2:$J1023,
      ('Shipments by country'!$E$2:$E1023 &lt; NOW()) *
      ('Shipments by country'!$I$2:$I1023 &gt; 0.25) *
      ('Shipments by country'!$B$2:$B1023 = $A28)
    )
  ),
  0
)
"),121.9849669778773)</f>
        <v>121.984967</v>
      </c>
      <c r="AJ28" s="5">
        <f>SUMIF('Shipments by country'!$B:$B,$A28,'Shipments by country'!$R:$R)</f>
        <v>25.98738047</v>
      </c>
      <c r="AK28" s="26">
        <f t="shared" si="10"/>
        <v>13993822.8</v>
      </c>
      <c r="AL28" s="27">
        <f>AK28*'Vaccine pricing'!B3</f>
        <v>41841530.17</v>
      </c>
      <c r="AM28" s="28">
        <f>IF($A28="","",
 LET(
  ctry,$A28,
  ctryCol,'Shipments by country'!$B$2:$B1023,
  vaccCol,'Shipments by country'!$C$2:$C1023,
  finCol,'Shipments by country'!$D$2:$D1023,
  doseCol,'Shipments by country'!$F$2:$F1023,
  price,IFERROR(VLOOKUP(vaccCol,'Vaccine pricing'!$A$2:$B1023,2,FALSE),0),
  totCost,SUMPRODUCT((ctryCol=ctry)*doseCol*price),
  gaviCost,SUMPRODUCT((ctryCol=ctry)*(finCol="Gavi")*doseCol*price),
  IF(totCost=0,"",gaviCost/totCost)
 ))
</f>
        <v>0.95100451</v>
      </c>
      <c r="AN28" s="24">
        <v>11.0</v>
      </c>
      <c r="AO28" s="27">
        <v>2798764.5600000005</v>
      </c>
      <c r="AP28" s="24">
        <v>860.0</v>
      </c>
      <c r="AQ28" s="29">
        <f>'Vaccine pricing'!$B$3*4/((S28/1000000)*'Vaccine efficacy curves'!$C$3)</f>
        <v>46.0594025</v>
      </c>
      <c r="AR28" s="29">
        <f>'Vaccine pricing'!$B$3*4/((T28/1000000)*'Vaccine efficacy curves'!$C$3)</f>
        <v>26687.20307</v>
      </c>
      <c r="AS28" s="24">
        <f t="shared" si="11"/>
        <v>831634.6</v>
      </c>
      <c r="AT28" s="24">
        <f t="shared" si="12"/>
        <v>3326538.4</v>
      </c>
      <c r="AU28" s="30">
        <f>AT28*'Vaccine pricing'!B3</f>
        <v>9946349.816</v>
      </c>
      <c r="AV28" s="24">
        <f t="shared" si="13"/>
        <v>2148389.383</v>
      </c>
      <c r="AW28" s="25">
        <f t="shared" si="14"/>
        <v>0.1135269062</v>
      </c>
      <c r="AX28" s="24">
        <f t="shared" si="15"/>
        <v>1904489.383</v>
      </c>
      <c r="AY28" s="25">
        <f t="shared" si="16"/>
        <v>0.8864730938</v>
      </c>
      <c r="AZ28" s="24">
        <f t="shared" si="17"/>
        <v>7617957.533</v>
      </c>
      <c r="BA28" s="30">
        <f>AZ28*'Vaccine pricing'!B3</f>
        <v>22777693.02</v>
      </c>
      <c r="BB28" s="30">
        <v>1523591.5066666668</v>
      </c>
    </row>
    <row r="29" ht="22.5" customHeight="1">
      <c r="A29" s="3" t="s">
        <v>105</v>
      </c>
      <c r="B29" s="20">
        <f>SUMIFS('Shipments by country'!F:F, 
        'Shipments by country'!B:B, A29, 
        'Shipments by country'!C:C, "RTS,S", 
        'Shipments by country'!G:G, "Delivered")
</f>
        <v>0</v>
      </c>
      <c r="C29" s="4">
        <f>SUMIFS('Shipments by country'!F:F, 
        'Shipments by country'!B:B, A29, 
        'Shipments by country'!C:C, "R21", 
        'Shipments by country'!G:G, "Delivered")
</f>
        <v>0</v>
      </c>
      <c r="D29" s="20">
        <f t="shared" si="1"/>
        <v>0</v>
      </c>
      <c r="E29" s="4">
        <f>SUMIFS('Shipments by country'!F:F, 
        'Shipments by country'!B:B, A29, 
        'Shipments by country'!C:C, "RTS,S")
</f>
        <v>0</v>
      </c>
      <c r="F29" s="4">
        <f>SUMIFS('Shipments by country'!F:F, 
        'Shipments by country'!B:B, A29, 
        'Shipments by country'!C:C, "R21")
</f>
        <v>0</v>
      </c>
      <c r="G29" s="4">
        <f t="shared" si="2"/>
        <v>0</v>
      </c>
      <c r="H29" s="21" t="s">
        <v>74</v>
      </c>
      <c r="I29" s="6">
        <v>0.0</v>
      </c>
      <c r="J29" s="21">
        <v>5022441.0</v>
      </c>
      <c r="K29" s="23">
        <v>799917.0</v>
      </c>
      <c r="L29" s="23">
        <f t="shared" si="3"/>
        <v>719925.3</v>
      </c>
      <c r="M29" s="24">
        <f t="shared" si="4"/>
        <v>0</v>
      </c>
      <c r="N29" s="25">
        <f t="shared" si="5"/>
        <v>0</v>
      </c>
      <c r="O29" s="23">
        <f t="shared" si="6"/>
        <v>719925.3</v>
      </c>
      <c r="P29" s="25">
        <f t="shared" si="7"/>
        <v>1</v>
      </c>
      <c r="Q29" s="6">
        <v>192584.0</v>
      </c>
      <c r="R29" s="6">
        <v>493.0</v>
      </c>
      <c r="S29" s="24">
        <f t="shared" si="8"/>
        <v>38344.70131</v>
      </c>
      <c r="T29" s="24">
        <f t="shared" si="9"/>
        <v>98.1594408</v>
      </c>
      <c r="U29" s="5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$A29) ) ), 0 )"),0.0)</f>
        <v>0</v>
      </c>
      <c r="V29" s="5">
        <f>SUMIF('Shipments by country'!$B:$B,$A29,'Shipments by country'!$K:$K)</f>
        <v>0</v>
      </c>
      <c r="W29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$A29) ) ), 0 )"),0.0)</f>
        <v>0</v>
      </c>
      <c r="X29" s="5">
        <f>SUMIF('Shipments by country'!$B:$B,$A29,'Shipments by country'!$L:$L)</f>
        <v>0</v>
      </c>
      <c r="Y29" s="6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$A29) ) ), 0 )"),0.0)</f>
        <v>0</v>
      </c>
      <c r="Z29" s="5">
        <f>SUMIF('Shipments by country'!$B:$B,$A29,'Shipments by country'!$M:$M)</f>
        <v>0</v>
      </c>
      <c r="AA29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$A29) ) ), 0 )"),0.0)</f>
        <v>0</v>
      </c>
      <c r="AB29" s="5">
        <f>SUMIF('Shipments by country'!$B:$B,$A29,'Shipments by country'!$N:$N)</f>
        <v>0</v>
      </c>
      <c r="AC29" s="5">
        <f>IFERROR(__xludf.DUMMYFUNCTION("IFERROR( SUM( FILTER( 'Shipments by country'!$H$2:$H1023 * ( INDEX(Countries!$S$2:$S1023, MATCH('Shipments by country'!$B$2:$B1023, Countries!$A$2:$A1023, 0) ) / 1000000 ) * 'Shipments by country'!$J$2:$J1023, ('Shipments by country'!$E$2:$E1023 &lt; NOW()) "&amp;"* ('Shipments by country'!$I$2:$I1023 &gt; 0) * ('Shipments by country'!$B$2:$B1023 = $A29) ) ), 0 )"),0.0)</f>
        <v>0</v>
      </c>
      <c r="AD29" s="5">
        <f>SUMIF('Shipments by country'!$B:$B,$A29,'Shipments by country'!$O:$O)</f>
        <v>0</v>
      </c>
      <c r="AE29" s="5">
        <f>IFERROR(__xludf.DUMMYFUNCTION("IFERROR( SUM( FILTER( 'Shipments by country'!$H$2:$H1023 * ( INDEX(Countries!$T$2:$T1023, MATCH('Shipments by country'!$B$2:$B1023, Countries!$A$2:$A1023, 0) ) / 1000000 ) * 'Shipments by country'!$J$2:$J1023, ('Shipments by country'!$E$2:$E1023 &lt; NOW()) "&amp;"* ('Shipments by country'!$I$2:$I1023 &gt; 0) * ('Shipments by country'!$B$2:$B1023 = $A29) ) ), 0 )"),0.0)</f>
        <v>0</v>
      </c>
      <c r="AF29" s="5">
        <f>SUMIF('Shipments by country'!$B:$B,$A29,'Shipments by country'!$P:$P)</f>
        <v>0</v>
      </c>
      <c r="AG29" s="5">
        <f>IFERROR(__xludf.DUMMYFUNCTION("IFERROR(
  SUM(
    FILTER(
      'Shipments by country'!$H$2:$H1023                                *
      INDEX(Countries!$S$2:$S1023,
            MATCH('Shipments by country'!$B$2:$B1023, Countries!$A$2:$A1023, 0)
           ) / 1000000                "&amp;"                                 *
      'Shipments by country'!$J$2:$J1023,
      ( 'Shipments by country'!$E$2:$E1023 &lt;  NOW()           )        *
      ( 'Shipments by country'!$I$2:$I1023 &gt; 0.25             )        *
      ( 'Shipments by country'!$"&amp;"B$2:$B1023 =  $A29             )
    )
  ),
  0
)
"),0.0)</f>
        <v>0</v>
      </c>
      <c r="AH29" s="5">
        <f>SUMIF('Shipments by country'!$B:$B,$A29,'Shipments by country'!$Q:$Q)</f>
        <v>0</v>
      </c>
      <c r="AI29" s="26">
        <f>IFERROR(__xludf.DUMMYFUNCTION("IFERROR(
  SUM(
    FILTER(
      'Shipments by country'!$H$2:$H1023
        * ( INDEX(Countries!$T$2:$T1023,
                 MATCH('Shipments by country'!$B$2:$B1023, Countries!$A$2:$A1023, 0)
               ) / 1000000 )
        * 'Shipments by country"&amp;"'!$J$2:$J1023,
      ('Shipments by country'!$E$2:$E1023 &lt; NOW()) *
      ('Shipments by country'!$I$2:$I1023 &gt; 0.25) *
      ('Shipments by country'!$B$2:$B1023 = $A29)
    )
  ),
  0
)
"),0.0)</f>
        <v>0</v>
      </c>
      <c r="AJ29" s="5">
        <f>SUMIF('Shipments by country'!$B:$B,$A29,'Shipments by country'!$R:$R)</f>
        <v>0</v>
      </c>
      <c r="AK29" s="26">
        <f t="shared" si="10"/>
        <v>2879701.2</v>
      </c>
      <c r="AL29" s="27">
        <f>AK29*'Vaccine pricing'!B3</f>
        <v>8610306.588</v>
      </c>
      <c r="AM29" s="28" t="str">
        <f>IF($A29="","",
 LET(
  ctry,$A29,
  ctryCol,'Shipments by country'!$B$2:$B1023,
  vaccCol,'Shipments by country'!$C$2:$C1023,
  finCol,'Shipments by country'!$D$2:$D1023,
  doseCol,'Shipments by country'!$F$2:$F1023,
  price,IFERROR(VLOOKUP(vaccCol,'Vaccine pricing'!$A$2:$B1023,2,FALSE),0),
  totCost,SUMPRODUCT((ctryCol=ctry)*doseCol*price),
  gaviCost,SUMPRODUCT((ctryCol=ctry)*(finCol="Gavi")*doseCol*price),
  IF(totCost=0,"",gaviCost/totCost)
 ))
</f>
        <v/>
      </c>
      <c r="AN29" s="24">
        <v>11.0</v>
      </c>
      <c r="AO29" s="27">
        <v>2329999.493237469</v>
      </c>
      <c r="AP29" s="24">
        <v>2013.0</v>
      </c>
      <c r="AQ29" s="29">
        <f>'Vaccine pricing'!$B$3*4/((S29/1000000)*'Vaccine efficacy curves'!$C$3)</f>
        <v>415.8766693</v>
      </c>
      <c r="AR29" s="29">
        <f>'Vaccine pricing'!$B$3*4/((T29/1000000)*'Vaccine efficacy curves'!$C$3)</f>
        <v>162456.7799</v>
      </c>
      <c r="AS29" s="24">
        <f t="shared" si="11"/>
        <v>159983.4</v>
      </c>
      <c r="AT29" s="24">
        <f t="shared" si="12"/>
        <v>639933.6</v>
      </c>
      <c r="AU29" s="30">
        <f>AT29*'Vaccine pricing'!B3</f>
        <v>1913401.464</v>
      </c>
      <c r="AV29" s="24">
        <f t="shared" si="13"/>
        <v>413290.45</v>
      </c>
      <c r="AW29" s="25">
        <f t="shared" si="14"/>
        <v>0</v>
      </c>
      <c r="AX29" s="24">
        <f t="shared" si="15"/>
        <v>413290.45</v>
      </c>
      <c r="AY29" s="25">
        <f t="shared" si="16"/>
        <v>1</v>
      </c>
      <c r="AZ29" s="24">
        <f t="shared" si="17"/>
        <v>1653161.8</v>
      </c>
      <c r="BA29" s="30">
        <f>AZ29*'Vaccine pricing'!B3</f>
        <v>4942953.782</v>
      </c>
      <c r="BB29" s="30">
        <v>1337592.3016733616</v>
      </c>
    </row>
    <row r="30" ht="22.5" customHeight="1">
      <c r="A30" s="3" t="s">
        <v>106</v>
      </c>
      <c r="B30" s="20">
        <f>SUMIFS('Shipments by country'!F:F, 
        'Shipments by country'!B:B, A30, 
        'Shipments by country'!C:C, "RTS,S", 
        'Shipments by country'!G:G, "Delivered")
</f>
        <v>0</v>
      </c>
      <c r="C30" s="4">
        <f>SUMIFS('Shipments by country'!F:F, 
        'Shipments by country'!B:B, A30, 
        'Shipments by country'!C:C, "R21", 
        'Shipments by country'!G:G, "Delivered")
</f>
        <v>3730900</v>
      </c>
      <c r="D30" s="20">
        <f t="shared" si="1"/>
        <v>3730900</v>
      </c>
      <c r="E30" s="4">
        <f>SUMIFS('Shipments by country'!F:F, 
        'Shipments by country'!B:B, A30, 
        'Shipments by country'!C:C, "RTS,S")
</f>
        <v>0</v>
      </c>
      <c r="F30" s="4">
        <f>SUMIFS('Shipments by country'!F:F, 
        'Shipments by country'!B:B, A30, 
        'Shipments by country'!C:C, "R21")
</f>
        <v>5614900</v>
      </c>
      <c r="G30" s="4">
        <f t="shared" si="2"/>
        <v>5614900</v>
      </c>
      <c r="H30" s="21" t="s">
        <v>80</v>
      </c>
      <c r="I30" s="6">
        <v>2.9E7</v>
      </c>
      <c r="J30" s="21">
        <v>3.363516E7</v>
      </c>
      <c r="K30" s="23">
        <v>5668611.0</v>
      </c>
      <c r="L30" s="23">
        <f t="shared" si="3"/>
        <v>5101749.9</v>
      </c>
      <c r="M30" s="24">
        <f t="shared" si="4"/>
        <v>1403725</v>
      </c>
      <c r="N30" s="25">
        <f t="shared" si="5"/>
        <v>0.2751457887</v>
      </c>
      <c r="O30" s="23">
        <f t="shared" si="6"/>
        <v>3698024.9</v>
      </c>
      <c r="P30" s="25">
        <f t="shared" si="7"/>
        <v>0.7248542113</v>
      </c>
      <c r="Q30" s="6">
        <v>9256415.0</v>
      </c>
      <c r="R30" s="6">
        <v>17875.0</v>
      </c>
      <c r="S30" s="24">
        <f t="shared" si="8"/>
        <v>275200.5639</v>
      </c>
      <c r="T30" s="24">
        <f t="shared" si="9"/>
        <v>531.4379358</v>
      </c>
      <c r="U30" s="5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$A30) ) ), 0 )"),196251.3518033008)</f>
        <v>196251.3518</v>
      </c>
      <c r="V30" s="5">
        <f>SUMIF('Shipments by country'!$B:$B,$A30,'Shipments by country'!$K:$K)</f>
        <v>6570.736725</v>
      </c>
      <c r="W30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$A30) ) ), 0 )"),389.3028779572945)</f>
        <v>389.302878</v>
      </c>
      <c r="X30" s="5">
        <f>SUMIF('Shipments by country'!$B:$B,$A30,'Shipments by country'!$L:$L)</f>
        <v>101161.9833</v>
      </c>
      <c r="Y30" s="6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$A30) ) ), 0 )"),184636.4152821603)</f>
        <v>184636.4153</v>
      </c>
      <c r="Z30" s="5">
        <f>SUMIF('Shipments by country'!$B:$B,$A30,'Shipments by country'!$M:$M)</f>
        <v>3415.641516</v>
      </c>
      <c r="AA30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$A30) ) ), 0 )"),366.26238333943667)</f>
        <v>366.2623833</v>
      </c>
      <c r="AB30" s="5">
        <f>SUMIF('Shipments by country'!$B:$B,$A30,'Shipments by country'!$N:$N)</f>
        <v>52586.65574</v>
      </c>
      <c r="AC30" s="5">
        <f>IFERROR(__xludf.DUMMYFUNCTION("IFERROR( SUM( FILTER( 'Shipments by country'!$H$2:$H1023 * ( INDEX(Countries!$S$2:$S1023, MATCH('Shipments by country'!$B$2:$B1023, Countries!$A$2:$A1023, 0) ) / 1000000 ) * 'Shipments by country'!$J$2:$J1023, ('Shipments by country'!$E$2:$E1023 &lt; NOW()) "&amp;"* ('Shipments by country'!$I$2:$I1023 &gt; 0) * ('Shipments by country'!$B$2:$B1023 = $A30) ) ), 0 )"),260366.58886144432)</f>
        <v>260366.5889</v>
      </c>
      <c r="AD30" s="5">
        <f>SUMIF('Shipments by country'!$B:$B,$A30,'Shipments by country'!$O:$O)</f>
        <v>6466.650417</v>
      </c>
      <c r="AE30" s="5">
        <f>IFERROR(__xludf.DUMMYFUNCTION("IFERROR( SUM( FILTER( 'Shipments by country'!$H$2:$H1023 * ( INDEX(Countries!$T$2:$T1023, MATCH('Shipments by country'!$B$2:$B1023, Countries!$A$2:$A1023, 0) ) / 1000000 ) * 'Shipments by country'!$J$2:$J1023, ('Shipments by country'!$E$2:$E1023 &lt; NOW()) "&amp;"* ('Shipments by country'!$I$2:$I1023 &gt; 0) * ('Shipments by country'!$B$2:$B1023 = $A30) ) ), 0 )"),516.4879703314183)</f>
        <v>516.4879703</v>
      </c>
      <c r="AF30" s="5">
        <f>SUMIF('Shipments by country'!$B:$B,$A30,'Shipments by country'!$P:$P)</f>
        <v>99559.48764</v>
      </c>
      <c r="AG30" s="5">
        <f>IFERROR(__xludf.DUMMYFUNCTION("IFERROR(
  SUM(
    FILTER(
      'Shipments by country'!$H$2:$H1023                                *
      INDEX(Countries!$S$2:$S1023,
            MATCH('Shipments by country'!$B$2:$B1023, Countries!$A$2:$A1023, 0)
           ) / 1000000                "&amp;"                                 *
      'Shipments by country'!$J$2:$J1023,
      ( 'Shipments by country'!$E$2:$E1023 &lt;  NOW()           )        *
      ( 'Shipments by country'!$I$2:$I1023 &gt; 0.25             )        *
      ( 'Shipments by country'!$"&amp;"B$2:$B1023 =  $A30             )
    )
  ),
  0
)
"),244810.87030634552)</f>
        <v>244810.8703</v>
      </c>
      <c r="AH30" s="5">
        <f>SUMIF('Shipments by country'!$B:$B,$A30,'Shipments by country'!$Q:$Q)</f>
        <v>47501.12398</v>
      </c>
      <c r="AI30" s="26">
        <f>IFERROR(__xludf.DUMMYFUNCTION("IFERROR(
  SUM(
    FILTER(
      'Shipments by country'!$H$2:$H1023
        * ( INDEX(Countries!$T$2:$T1023,
                 MATCH('Shipments by country'!$B$2:$B1023, Countries!$A$2:$A1023, 0)
               ) / 1000000 )
        * 'Shipments by country"&amp;"'!$J$2:$J1023,
      ('Shipments by country'!$E$2:$E1023 &lt; NOW()) *
      ('Shipments by country'!$I$2:$I1023 &gt; 0.25) *
      ('Shipments by country'!$B$2:$B1023 = $A30)
    )
  ),
  0
)
"),485.6301650396444)</f>
        <v>485.630165</v>
      </c>
      <c r="AJ30" s="5">
        <f>SUMIF('Shipments by country'!$B:$B,$A30,'Shipments by country'!$R:$R)</f>
        <v>91.72909718</v>
      </c>
      <c r="AK30" s="26">
        <f t="shared" si="10"/>
        <v>14792099.6</v>
      </c>
      <c r="AL30" s="27">
        <f>AK30*'Vaccine pricing'!B3</f>
        <v>44228377.8</v>
      </c>
      <c r="AM30" s="28">
        <f>IF($A30="","",
 LET(
  ctry,$A30,
  ctryCol,'Shipments by country'!$B$2:$B1023,
  vaccCol,'Shipments by country'!$C$2:$C1023,
  finCol,'Shipments by country'!$D$2:$D1023,
  doseCol,'Shipments by country'!$F$2:$F1023,
  price,IFERROR(VLOOKUP(vaccCol,'Vaccine pricing'!$A$2:$B1023,2,FALSE),0),
  totCost,SUMPRODUCT((ctryCol=ctry)*doseCol*price),
  gaviCost,SUMPRODUCT((ctryCol=ctry)*(finCol="Gavi")*doseCol*price),
  IF(totCost=0,"",gaviCost/totCost)
 ))
</f>
        <v>0.9512190778</v>
      </c>
      <c r="AN30" s="24">
        <v>11.0</v>
      </c>
      <c r="AO30" s="27">
        <v>2958419.9200000004</v>
      </c>
      <c r="AP30" s="24">
        <v>503.0</v>
      </c>
      <c r="AQ30" s="29">
        <f>'Vaccine pricing'!$B$3*4/((S30/1000000)*'Vaccine efficacy curves'!$C$3)</f>
        <v>57.94561769</v>
      </c>
      <c r="AR30" s="29">
        <f>'Vaccine pricing'!$B$3*4/((T30/1000000)*'Vaccine efficacy curves'!$C$3)</f>
        <v>30006.63971</v>
      </c>
      <c r="AS30" s="24">
        <f t="shared" si="11"/>
        <v>1133722.2</v>
      </c>
      <c r="AT30" s="24">
        <f t="shared" si="12"/>
        <v>4534888.8</v>
      </c>
      <c r="AU30" s="30">
        <f>AT30*'Vaccine pricing'!B3</f>
        <v>13559317.51</v>
      </c>
      <c r="AV30" s="24">
        <f t="shared" si="13"/>
        <v>2928782.35</v>
      </c>
      <c r="AW30" s="25">
        <f t="shared" si="14"/>
        <v>0.4792862126</v>
      </c>
      <c r="AX30" s="24">
        <f t="shared" si="15"/>
        <v>1525057.35</v>
      </c>
      <c r="AY30" s="25">
        <f t="shared" si="16"/>
        <v>0.5207137874</v>
      </c>
      <c r="AZ30" s="24">
        <f t="shared" si="17"/>
        <v>6100229.4</v>
      </c>
      <c r="BA30" s="30">
        <f>AZ30*'Vaccine pricing'!B3</f>
        <v>18239685.91</v>
      </c>
      <c r="BB30" s="30">
        <v>1220045.8800000001</v>
      </c>
    </row>
    <row r="31" ht="22.5" customHeight="1">
      <c r="A31" s="3" t="s">
        <v>107</v>
      </c>
      <c r="B31" s="20">
        <f>SUMIFS('Shipments by country'!F:F, 
        'Shipments by country'!B:B, A31, 
        'Shipments by country'!C:C, "RTS,S", 
        'Shipments by country'!G:G, "Delivered")
</f>
        <v>0</v>
      </c>
      <c r="C31" s="4">
        <f>SUMIFS('Shipments by country'!F:F, 
        'Shipments by country'!B:B, A31, 
        'Shipments by country'!C:C, "R21", 
        'Shipments by country'!G:G, "Delivered")
</f>
        <v>0</v>
      </c>
      <c r="D31" s="20">
        <f t="shared" si="1"/>
        <v>0</v>
      </c>
      <c r="E31" s="4">
        <f>SUMIFS('Shipments by country'!F:F, 
        'Shipments by country'!B:B, A31, 
        'Shipments by country'!C:C, "RTS,S")
</f>
        <v>0</v>
      </c>
      <c r="F31" s="4">
        <f>SUMIFS('Shipments by country'!F:F, 
        'Shipments by country'!B:B, A31, 
        'Shipments by country'!C:C, "R21")
</f>
        <v>0</v>
      </c>
      <c r="G31" s="4">
        <f t="shared" si="2"/>
        <v>0</v>
      </c>
      <c r="H31" s="21" t="s">
        <v>76</v>
      </c>
      <c r="I31" s="6">
        <v>0.0</v>
      </c>
      <c r="J31" s="21">
        <v>2351956.0</v>
      </c>
      <c r="K31" s="23">
        <v>409462.0</v>
      </c>
      <c r="L31" s="23">
        <f t="shared" si="3"/>
        <v>368515.8</v>
      </c>
      <c r="M31" s="24">
        <f t="shared" si="4"/>
        <v>0</v>
      </c>
      <c r="N31" s="25">
        <f t="shared" si="5"/>
        <v>0</v>
      </c>
      <c r="O31" s="23">
        <f t="shared" si="6"/>
        <v>368515.8</v>
      </c>
      <c r="P31" s="25">
        <f t="shared" si="7"/>
        <v>1</v>
      </c>
      <c r="Q31" s="6">
        <v>19376.0</v>
      </c>
      <c r="R31" s="6">
        <v>23.0</v>
      </c>
      <c r="S31" s="24">
        <f t="shared" si="8"/>
        <v>8238.249355</v>
      </c>
      <c r="T31" s="24">
        <f t="shared" si="9"/>
        <v>9.779094507</v>
      </c>
      <c r="U31" s="5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$A31) ) ), 0 )"),0.0)</f>
        <v>0</v>
      </c>
      <c r="V31" s="5">
        <f>SUMIF('Shipments by country'!$B:$B,$A31,'Shipments by country'!$K:$K)</f>
        <v>0</v>
      </c>
      <c r="W31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$A31) ) ), 0 )"),0.0)</f>
        <v>0</v>
      </c>
      <c r="X31" s="5">
        <f>SUMIF('Shipments by country'!$B:$B,$A31,'Shipments by country'!$L:$L)</f>
        <v>0</v>
      </c>
      <c r="Y31" s="6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$A31) ) ), 0 )"),0.0)</f>
        <v>0</v>
      </c>
      <c r="Z31" s="5">
        <f>SUMIF('Shipments by country'!$B:$B,$A31,'Shipments by country'!$M:$M)</f>
        <v>0</v>
      </c>
      <c r="AA31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$A31) ) ), 0 )"),0.0)</f>
        <v>0</v>
      </c>
      <c r="AB31" s="5">
        <f>SUMIF('Shipments by country'!$B:$B,$A31,'Shipments by country'!$N:$N)</f>
        <v>0</v>
      </c>
      <c r="AC31" s="5">
        <f>IFERROR(__xludf.DUMMYFUNCTION("IFERROR( SUM( FILTER( 'Shipments by country'!$H$2:$H1023 * ( INDEX(Countries!$S$2:$S1023, MATCH('Shipments by country'!$B$2:$B1023, Countries!$A$2:$A1023, 0) ) / 1000000 ) * 'Shipments by country'!$J$2:$J1023, ('Shipments by country'!$E$2:$E1023 &lt; NOW()) "&amp;"* ('Shipments by country'!$I$2:$I1023 &gt; 0) * ('Shipments by country'!$B$2:$B1023 = $A31) ) ), 0 )"),0.0)</f>
        <v>0</v>
      </c>
      <c r="AD31" s="5">
        <f>SUMIF('Shipments by country'!$B:$B,$A31,'Shipments by country'!$O:$O)</f>
        <v>0</v>
      </c>
      <c r="AE31" s="5">
        <f>IFERROR(__xludf.DUMMYFUNCTION("IFERROR( SUM( FILTER( 'Shipments by country'!$H$2:$H1023 * ( INDEX(Countries!$T$2:$T1023, MATCH('Shipments by country'!$B$2:$B1023, Countries!$A$2:$A1023, 0) ) / 1000000 ) * 'Shipments by country'!$J$2:$J1023, ('Shipments by country'!$E$2:$E1023 &lt; NOW()) "&amp;"* ('Shipments by country'!$I$2:$I1023 &gt; 0) * ('Shipments by country'!$B$2:$B1023 = $A31) ) ), 0 )"),0.0)</f>
        <v>0</v>
      </c>
      <c r="AF31" s="5">
        <f>SUMIF('Shipments by country'!$B:$B,$A31,'Shipments by country'!$P:$P)</f>
        <v>0</v>
      </c>
      <c r="AG31" s="5">
        <f>IFERROR(__xludf.DUMMYFUNCTION("IFERROR(
  SUM(
    FILTER(
      'Shipments by country'!$H$2:$H1023                                *
      INDEX(Countries!$S$2:$S1023,
            MATCH('Shipments by country'!$B$2:$B1023, Countries!$A$2:$A1023, 0)
           ) / 1000000                "&amp;"                                 *
      'Shipments by country'!$J$2:$J1023,
      ( 'Shipments by country'!$E$2:$E1023 &lt;  NOW()           )        *
      ( 'Shipments by country'!$I$2:$I1023 &gt; 0.25             )        *
      ( 'Shipments by country'!$"&amp;"B$2:$B1023 =  $A31             )
    )
  ),
  0
)
"),0.0)</f>
        <v>0</v>
      </c>
      <c r="AH31" s="5">
        <f>SUMIF('Shipments by country'!$B:$B,$A31,'Shipments by country'!$Q:$Q)</f>
        <v>0</v>
      </c>
      <c r="AI31" s="26">
        <f>IFERROR(__xludf.DUMMYFUNCTION("IFERROR(
  SUM(
    FILTER(
      'Shipments by country'!$H$2:$H1023
        * ( INDEX(Countries!$T$2:$T1023,
                 MATCH('Shipments by country'!$B$2:$B1023, Countries!$A$2:$A1023, 0)
               ) / 1000000 )
        * 'Shipments by country"&amp;"'!$J$2:$J1023,
      ('Shipments by country'!$E$2:$E1023 &lt; NOW()) *
      ('Shipments by country'!$I$2:$I1023 &gt; 0.25) *
      ('Shipments by country'!$B$2:$B1023 = $A31)
    )
  ),
  0
)
"),0.0)</f>
        <v>0</v>
      </c>
      <c r="AJ31" s="5">
        <f>SUMIF('Shipments by country'!$B:$B,$A31,'Shipments by country'!$R:$R)</f>
        <v>0</v>
      </c>
      <c r="AK31" s="26">
        <f t="shared" si="10"/>
        <v>1474063.2</v>
      </c>
      <c r="AL31" s="27">
        <f>AK31*'Vaccine pricing'!B3</f>
        <v>4407448.968</v>
      </c>
      <c r="AM31" s="28" t="str">
        <f>IF($A31="","",
 LET(
  ctry,$A31,
  ctryCol,'Shipments by country'!$B$2:$B1023,
  vaccCol,'Shipments by country'!$C$2:$C1023,
  finCol,'Shipments by country'!$D$2:$D1023,
  doseCol,'Shipments by country'!$F$2:$F1023,
  price,IFERROR(VLOOKUP(vaccCol,'Vaccine pricing'!$A$2:$B1023,2,FALSE),0),
  totCost,SUMPRODUCT((ctryCol=ctry)*doseCol*price),
  gaviCost,SUMPRODUCT((ctryCol=ctry)*(finCol="Gavi")*doseCol*price),
  IF(totCost=0,"",gaviCost/totCost)
 ))
</f>
        <v/>
      </c>
      <c r="AN31" s="24" t="s">
        <v>77</v>
      </c>
      <c r="AO31" s="30" t="s">
        <v>78</v>
      </c>
      <c r="AP31" s="24" t="s">
        <v>77</v>
      </c>
      <c r="AQ31" s="29">
        <f>'Vaccine pricing'!$B$3*4/((S31/1000000)*'Vaccine efficacy curves'!$C$3)</f>
        <v>1935.686331</v>
      </c>
      <c r="AR31" s="29">
        <f>'Vaccine pricing'!$B$3*4/((T31/1000000)*'Vaccine efficacy curves'!$C$3)</f>
        <v>1630689.493</v>
      </c>
      <c r="AS31" s="24">
        <f t="shared" si="11"/>
        <v>81892.4</v>
      </c>
      <c r="AT31" s="24">
        <f t="shared" si="12"/>
        <v>327569.6</v>
      </c>
      <c r="AU31" s="30">
        <f>AT31*'Vaccine pricing'!B3</f>
        <v>979433.104</v>
      </c>
      <c r="AV31" s="24">
        <f t="shared" si="13"/>
        <v>211555.3667</v>
      </c>
      <c r="AW31" s="25">
        <f t="shared" si="14"/>
        <v>0</v>
      </c>
      <c r="AX31" s="24">
        <f t="shared" si="15"/>
        <v>211555.3667</v>
      </c>
      <c r="AY31" s="25">
        <f t="shared" si="16"/>
        <v>1</v>
      </c>
      <c r="AZ31" s="24">
        <f t="shared" si="17"/>
        <v>846221.4667</v>
      </c>
      <c r="BA31" s="30">
        <f>AZ31*'Vaccine pricing'!B3</f>
        <v>2530202.185</v>
      </c>
      <c r="BB31" s="30" t="s">
        <v>78</v>
      </c>
    </row>
    <row r="32" ht="22.5" customHeight="1">
      <c r="A32" s="3" t="s">
        <v>108</v>
      </c>
      <c r="B32" s="20">
        <f>SUMIFS('Shipments by country'!F:F, 
        'Shipments by country'!B:B, A32, 
        'Shipments by country'!C:C, "RTS,S", 
        'Shipments by country'!G:G, "Delivered")
</f>
        <v>1895750</v>
      </c>
      <c r="C32" s="4">
        <f>SUMIFS('Shipments by country'!F:F, 
        'Shipments by country'!B:B, A32, 
        'Shipments by country'!C:C, "R21", 
        'Shipments by country'!G:G, "Delivered")
</f>
        <v>0</v>
      </c>
      <c r="D32" s="20">
        <f t="shared" si="1"/>
        <v>1895750</v>
      </c>
      <c r="E32" s="4">
        <f>SUMIFS('Shipments by country'!F:F, 
        'Shipments by country'!B:B, A32, 
        'Shipments by country'!C:C, "RTS,S")
</f>
        <v>1914550</v>
      </c>
      <c r="F32" s="4">
        <f>SUMIFS('Shipments by country'!F:F, 
        'Shipments by country'!B:B, A32, 
        'Shipments by country'!C:C, "R21")
</f>
        <v>0</v>
      </c>
      <c r="G32" s="4">
        <f t="shared" si="2"/>
        <v>1914550</v>
      </c>
      <c r="H32" s="21" t="s">
        <v>80</v>
      </c>
      <c r="I32" s="6">
        <v>2.0E7</v>
      </c>
      <c r="J32" s="21">
        <v>2.6159867E7</v>
      </c>
      <c r="K32" s="23">
        <v>4667152.0</v>
      </c>
      <c r="L32" s="23">
        <f t="shared" si="3"/>
        <v>4200436.8</v>
      </c>
      <c r="M32" s="24">
        <f t="shared" si="4"/>
        <v>478637.5</v>
      </c>
      <c r="N32" s="25">
        <f t="shared" si="5"/>
        <v>0.1139494588</v>
      </c>
      <c r="O32" s="23">
        <f t="shared" si="6"/>
        <v>3721799.3</v>
      </c>
      <c r="P32" s="25">
        <f t="shared" si="7"/>
        <v>0.8860505412</v>
      </c>
      <c r="Q32" s="6">
        <v>7982516.0</v>
      </c>
      <c r="R32" s="6">
        <v>35381.0</v>
      </c>
      <c r="S32" s="24">
        <f t="shared" si="8"/>
        <v>305143.6003</v>
      </c>
      <c r="T32" s="24">
        <f t="shared" si="9"/>
        <v>1352.491586</v>
      </c>
      <c r="U32" s="5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$A32) ) ), 0 )"),93817.70732830025)</f>
        <v>93817.70733</v>
      </c>
      <c r="V32" s="5">
        <f>SUMIF('Shipments by country'!$B:$B,$A32,'Shipments by country'!$K:$K)</f>
        <v>9786.791877</v>
      </c>
      <c r="W32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$A32) ) ), 0 )"),186.10574210397948)</f>
        <v>186.1057421</v>
      </c>
      <c r="X32" s="5">
        <f>SUMIF('Shipments by country'!$B:$B,$A32,'Shipments by country'!$L:$L)</f>
        <v>84406.23241</v>
      </c>
      <c r="Y32" s="6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$A32) ) ), 0 )"),71241.08167451121)</f>
        <v>71241.08167</v>
      </c>
      <c r="Z32" s="5">
        <f>SUMIF('Shipments by country'!$B:$B,$A32,'Shipments by country'!$M:$M)</f>
        <v>7599.100362</v>
      </c>
      <c r="AA32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$A32) ) ), 0 )"),141.32059662180333)</f>
        <v>141.3205966</v>
      </c>
      <c r="AB32" s="5">
        <f>SUMIF('Shipments by country'!$B:$B,$A32,'Shipments by country'!$N:$N)</f>
        <v>65538.47669</v>
      </c>
      <c r="AC32" s="5">
        <f>IFERROR(__xludf.DUMMYFUNCTION("IFERROR( SUM( FILTER( 'Shipments by country'!$H$2:$H1023 * ( INDEX(Countries!$S$2:$S1023, MATCH('Shipments by country'!$B$2:$B1023, Countries!$A$2:$A1023, 0) ) / 1000000 ) * 'Shipments by country'!$J$2:$J1023, ('Shipments by country'!$E$2:$E1023 &lt; NOW()) "&amp;"* ('Shipments by country'!$I$2:$I1023 &gt; 0) * ('Shipments by country'!$B$2:$B1023 = $A32) ) ), 0 )"),90102.83903604861)</f>
        <v>90102.83904</v>
      </c>
      <c r="AD32" s="5">
        <f>SUMIF('Shipments by country'!$B:$B,$A32,'Shipments by country'!$O:$O)</f>
        <v>9476.938265</v>
      </c>
      <c r="AE32" s="5">
        <f>IFERROR(__xludf.DUMMYFUNCTION("IFERROR( SUM( FILTER( 'Shipments by country'!$H$2:$H1023 * ( INDEX(Countries!$T$2:$T1023, MATCH('Shipments by country'!$B$2:$B1023, Countries!$A$2:$A1023, 0) ) / 1000000 ) * 'Shipments by country'!$J$2:$J1023, ('Shipments by country'!$E$2:$E1023 &lt; NOW()) "&amp;"* ('Shipments by country'!$I$2:$I1023 &gt; 0) * ('Shipments by country'!$B$2:$B1023 = $A32) ) ), 0 )"),178.73657545051677)</f>
        <v>178.7365755</v>
      </c>
      <c r="AF32" s="5">
        <f>SUMIF('Shipments by country'!$B:$B,$A32,'Shipments by country'!$P:$P)</f>
        <v>81733.89848</v>
      </c>
      <c r="AG32" s="5">
        <f>IFERROR(__xludf.DUMMYFUNCTION("IFERROR(
  SUM(
    FILTER(
      'Shipments by country'!$H$2:$H1023                                *
      INDEX(Countries!$S$2:$S1023,
            MATCH('Shipments by country'!$B$2:$B1023, Countries!$A$2:$A1023, 0)
           ) / 1000000                "&amp;"                                 *
      'Shipments by country'!$J$2:$J1023,
      ( 'Shipments by country'!$E$2:$E1023 &lt;  NOW()           )        *
      ( 'Shipments by country'!$I$2:$I1023 &gt; 0.25             )        *
      ( 'Shipments by country'!$"&amp;"B$2:$B1023 =  $A32             )
    )
  ),
  0
)
"),67526.21338225958)</f>
        <v>67526.21338</v>
      </c>
      <c r="AH32" s="5">
        <f>SUMIF('Shipments by country'!$B:$B,$A32,'Shipments by country'!$Q:$Q)</f>
        <v>17696.69087</v>
      </c>
      <c r="AI32" s="26">
        <f>IFERROR(__xludf.DUMMYFUNCTION("IFERROR(
  SUM(
    FILTER(
      'Shipments by country'!$H$2:$H1023
        * ( INDEX(Countries!$T$2:$T1023,
                 MATCH('Shipments by country'!$B$2:$B1023, Countries!$A$2:$A1023, 0)
               ) / 1000000 )
        * 'Shipments by country"&amp;"'!$J$2:$J1023,
      ('Shipments by country'!$E$2:$E1023 &lt; NOW()) *
      ('Shipments by country'!$I$2:$I1023 &gt; 0.25) *
      ('Shipments by country'!$B$2:$B1023 = $A32)
    )
  ),
  0
)
"),133.95142996834062)</f>
        <v>133.95143</v>
      </c>
      <c r="AJ32" s="5">
        <f>SUMIF('Shipments by country'!$B:$B,$A32,'Shipments by country'!$R:$R)</f>
        <v>78.43725206</v>
      </c>
      <c r="AK32" s="26">
        <f t="shared" si="10"/>
        <v>14887197.2</v>
      </c>
      <c r="AL32" s="27">
        <f>AK32*'Vaccine pricing'!B3</f>
        <v>44512719.63</v>
      </c>
      <c r="AM32" s="28">
        <f>IF($A32="","",
 LET(
  ctry,$A32,
  ctryCol,'Shipments by country'!$B$2:$B1023,
  vaccCol,'Shipments by country'!$C$2:$C1023,
  finCol,'Shipments by country'!$D$2:$D1023,
  doseCol,'Shipments by country'!$F$2:$F1023,
  price,IFERROR(VLOOKUP(vaccCol,'Vaccine pricing'!$A$2:$B1023,2,FALSE),0),
  totCost,SUMPRODUCT((ctryCol=ctry)*doseCol*price),
  gaviCost,SUMPRODUCT((ctryCol=ctry)*(finCol="Gavi")*doseCol*price),
  IF(totCost=0,"",gaviCost/totCost)
 ))
</f>
        <v>0.9817450576</v>
      </c>
      <c r="AN32" s="24">
        <v>11.0</v>
      </c>
      <c r="AO32" s="27">
        <v>2977439.44</v>
      </c>
      <c r="AP32" s="24">
        <v>600.0</v>
      </c>
      <c r="AQ32" s="29">
        <f>'Vaccine pricing'!$B$3*4/((S32/1000000)*'Vaccine efficacy curves'!$C$3)</f>
        <v>52.25954813</v>
      </c>
      <c r="AR32" s="29">
        <f>'Vaccine pricing'!$B$3*4/((T32/1000000)*'Vaccine efficacy curves'!$C$3)</f>
        <v>11790.58475</v>
      </c>
      <c r="AS32" s="24">
        <f t="shared" si="11"/>
        <v>933430.4</v>
      </c>
      <c r="AT32" s="24">
        <f t="shared" si="12"/>
        <v>3733721.6</v>
      </c>
      <c r="AU32" s="30">
        <f>AT32*'Vaccine pricing'!B3</f>
        <v>11163827.58</v>
      </c>
      <c r="AV32" s="24">
        <f t="shared" si="13"/>
        <v>2411361.867</v>
      </c>
      <c r="AW32" s="25">
        <f t="shared" si="14"/>
        <v>0.1984926056</v>
      </c>
      <c r="AX32" s="24">
        <f t="shared" si="15"/>
        <v>1932724.367</v>
      </c>
      <c r="AY32" s="25">
        <f t="shared" si="16"/>
        <v>0.8015073944</v>
      </c>
      <c r="AZ32" s="24">
        <f t="shared" si="17"/>
        <v>7730897.467</v>
      </c>
      <c r="BA32" s="30">
        <f>AZ32*'Vaccine pricing'!B3</f>
        <v>23115383.43</v>
      </c>
      <c r="BB32" s="30">
        <v>1546179.4933333334</v>
      </c>
    </row>
    <row r="33" ht="22.5" customHeight="1">
      <c r="A33" s="3" t="s">
        <v>109</v>
      </c>
      <c r="B33" s="20">
        <f>SUMIFS('Shipments by country'!F:F, 
        'Shipments by country'!B:B, A33, 
        'Shipments by country'!C:C, "RTS,S", 
        'Shipments by country'!G:G, "Delivered")
</f>
        <v>0</v>
      </c>
      <c r="C33" s="4">
        <f>SUMIFS('Shipments by country'!F:F, 
        'Shipments by country'!B:B, A33, 
        'Shipments by country'!C:C, "R21", 
        'Shipments by country'!G:G, "Delivered")
</f>
        <v>2385300</v>
      </c>
      <c r="D33" s="20">
        <f t="shared" si="1"/>
        <v>2385300</v>
      </c>
      <c r="E33" s="4">
        <f>SUMIFS('Shipments by country'!F:F, 
        'Shipments by country'!B:B, A33, 
        'Shipments by country'!C:C, "RTS,S")
</f>
        <v>0</v>
      </c>
      <c r="F33" s="4">
        <f>SUMIFS('Shipments by country'!F:F, 
        'Shipments by country'!B:B, A33, 
        'Shipments by country'!C:C, "R21")
</f>
        <v>3000500</v>
      </c>
      <c r="G33" s="4">
        <f t="shared" si="2"/>
        <v>3000500</v>
      </c>
      <c r="H33" s="21" t="s">
        <v>74</v>
      </c>
      <c r="I33" s="6">
        <v>7.3E7</v>
      </c>
      <c r="J33" s="21">
        <v>2.27882945E8</v>
      </c>
      <c r="K33" s="23">
        <v>3.3526624E7</v>
      </c>
      <c r="L33" s="23">
        <f t="shared" si="3"/>
        <v>30173961.6</v>
      </c>
      <c r="M33" s="24">
        <f t="shared" si="4"/>
        <v>750125</v>
      </c>
      <c r="N33" s="25">
        <f t="shared" si="5"/>
        <v>0.02486001043</v>
      </c>
      <c r="O33" s="23">
        <f t="shared" si="6"/>
        <v>29423836.6</v>
      </c>
      <c r="P33" s="25">
        <f t="shared" si="7"/>
        <v>0.9751399896</v>
      </c>
      <c r="Q33" s="6">
        <v>6.8136453E7</v>
      </c>
      <c r="R33" s="6">
        <v>184689.0</v>
      </c>
      <c r="S33" s="24">
        <f t="shared" si="8"/>
        <v>298997.5972</v>
      </c>
      <c r="T33" s="24">
        <f t="shared" si="9"/>
        <v>810.4555609</v>
      </c>
      <c r="U33" s="5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$A33) ) ), 0 )"),118044.77240680184)</f>
        <v>118044.7724</v>
      </c>
      <c r="V33" s="5">
        <f>SUMIF('Shipments by country'!$B:$B,$A33,'Shipments by country'!$K:$K)</f>
        <v>67800.15716</v>
      </c>
      <c r="W33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$A33) ) ), 0 )"),234.16485646346948)</f>
        <v>234.1648565</v>
      </c>
      <c r="X33" s="5">
        <f>SUMIF('Shipments by country'!$B:$B,$A33,'Shipments by country'!$L:$L)</f>
        <v>109763.354</v>
      </c>
      <c r="Y33" s="6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$A33) ) ), 0 )"),118044.77240680184)</f>
        <v>118044.7724</v>
      </c>
      <c r="Z33" s="5">
        <f>SUMIF('Shipments by country'!$B:$B,$A33,'Shipments by country'!$M:$M)</f>
        <v>47149.90692</v>
      </c>
      <c r="AA33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$A33) ) ), 0 )"),234.16485646346948)</f>
        <v>234.1648565</v>
      </c>
      <c r="AB33" s="5">
        <f>SUMIF('Shipments by country'!$B:$B,$A33,'Shipments by country'!$N:$N)</f>
        <v>76332.15231</v>
      </c>
      <c r="AC33" s="5">
        <f>IFERROR(__xludf.DUMMYFUNCTION("IFERROR( SUM( FILTER( 'Shipments by country'!$H$2:$H1023 * ( INDEX(Countries!$S$2:$S1023, MATCH('Shipments by country'!$B$2:$B1023, Countries!$A$2:$A1023, 0) ) / 1000000 ) * 'Shipments by country'!$J$2:$J1023, ('Shipments by country'!$E$2:$E1023 &lt; NOW()) "&amp;"* ('Shipments by country'!$I$2:$I1023 &gt; 0) * ('Shipments by country'!$B$2:$B1023 = $A33) ) ), 0 )"),157090.8795332146)</f>
        <v>157090.8795</v>
      </c>
      <c r="AD33" s="5">
        <f>SUMIF('Shipments by country'!$B:$B,$A33,'Shipments by country'!$O:$O)</f>
        <v>67362.67258</v>
      </c>
      <c r="AE33" s="5">
        <f>IFERROR(__xludf.DUMMYFUNCTION("IFERROR( SUM( FILTER( 'Shipments by country'!$H$2:$H1023 * ( INDEX(Countries!$T$2:$T1023, MATCH('Shipments by country'!$B$2:$B1023, Countries!$A$2:$A1023, 0) ) / 1000000 ) * 'Shipments by country'!$J$2:$J1023, ('Shipments by country'!$E$2:$E1023 &lt; NOW()) "&amp;"* ('Shipments by country'!$I$2:$I1023 &gt; 0) * ('Shipments by country'!$B$2:$B1023 = $A33) ) ), 0 )"),311.62043441320395)</f>
        <v>311.6204344</v>
      </c>
      <c r="AF33" s="5">
        <f>SUMIF('Shipments by country'!$B:$B,$A33,'Shipments by country'!$P:$P)</f>
        <v>109055.0994</v>
      </c>
      <c r="AG33" s="5">
        <f>IFERROR(__xludf.DUMMYFUNCTION("IFERROR(
  SUM(
    FILTER(
      'Shipments by country'!$H$2:$H1023                                *
      INDEX(Countries!$S$2:$S1023,
            MATCH('Shipments by country'!$B$2:$B1023, Countries!$A$2:$A1023, 0)
           ) / 1000000                "&amp;"                                 *
      'Shipments by country'!$J$2:$J1023,
      ( 'Shipments by country'!$E$2:$E1023 &lt;  NOW()           )        *
      ( 'Shipments by country'!$I$2:$I1023 &gt; 0.25             )        *
      ( 'Shipments by country'!$"&amp;"B$2:$B1023 =  $A33             )
    )
  ),
  0
)
"),157090.87953321464)</f>
        <v>157090.8795</v>
      </c>
      <c r="AH33" s="5">
        <f>SUMIF('Shipments by country'!$B:$B,$A33,'Shipments by country'!$Q:$Q)</f>
        <v>32722.94704</v>
      </c>
      <c r="AI33" s="26">
        <f>IFERROR(__xludf.DUMMYFUNCTION("IFERROR(
  SUM(
    FILTER(
      'Shipments by country'!$H$2:$H1023
        * ( INDEX(Countries!$T$2:$T1023,
                 MATCH('Shipments by country'!$B$2:$B1023, Countries!$A$2:$A1023, 0)
               ) / 1000000 )
        * 'Shipments by country"&amp;"'!$J$2:$J1023,
      ('Shipments by country'!$E$2:$E1023 &lt; NOW()) *
      ('Shipments by country'!$I$2:$I1023 &gt; 0.25) *
      ('Shipments by country'!$B$2:$B1023 = $A33)
    )
  ),
  0
)
"),311.62043441320395)</f>
        <v>311.6204344</v>
      </c>
      <c r="AJ33" s="5">
        <f>SUMIF('Shipments by country'!$B:$B,$A33,'Shipments by country'!$R:$R)</f>
        <v>88.69801846</v>
      </c>
      <c r="AK33" s="26">
        <f t="shared" si="10"/>
        <v>117695346.4</v>
      </c>
      <c r="AL33" s="27">
        <f>AK33*'Vaccine pricing'!B3</f>
        <v>351909085.7</v>
      </c>
      <c r="AM33" s="28">
        <f>IF($A33="","",
 LET(
  ctry,$A33,
  ctryCol,'Shipments by country'!$B$2:$B1023,
  vaccCol,'Shipments by country'!$C$2:$C1023,
  finCol,'Shipments by country'!$D$2:$D1023,
  doseCol,'Shipments by country'!$F$2:$F1023,
  price,IFERROR(VLOOKUP(vaccCol,'Vaccine pricing'!$A$2:$B1023,2,FALSE),0),
  totCost,SUMPRODUCT((ctryCol=ctry)*doseCol*price),
  gaviCost,SUMPRODUCT((ctryCol=ctry)*(finCol="Gavi")*doseCol*price),
  IF(totCost=0,"",gaviCost/totCost)
 ))
</f>
        <v>0.7437093818</v>
      </c>
      <c r="AN33" s="24">
        <v>9.0</v>
      </c>
      <c r="AO33" s="27">
        <v>7.200655109041087E7</v>
      </c>
      <c r="AP33" s="24">
        <v>2057.0</v>
      </c>
      <c r="AQ33" s="29">
        <f>'Vaccine pricing'!$B$3*4/((S33/1000000)*'Vaccine efficacy curves'!$C$3)</f>
        <v>53.33376193</v>
      </c>
      <c r="AR33" s="29">
        <f>'Vaccine pricing'!$B$3*4/((T33/1000000)*'Vaccine efficacy curves'!$C$3)</f>
        <v>19676.17651</v>
      </c>
      <c r="AS33" s="24">
        <f t="shared" si="11"/>
        <v>6705324.8</v>
      </c>
      <c r="AT33" s="24">
        <f t="shared" si="12"/>
        <v>26821299.2</v>
      </c>
      <c r="AU33" s="30">
        <f>AT33*'Vaccine pricing'!B3</f>
        <v>80195684.61</v>
      </c>
      <c r="AV33" s="24">
        <f t="shared" si="13"/>
        <v>17322089.07</v>
      </c>
      <c r="AW33" s="25">
        <f t="shared" si="14"/>
        <v>0.04330453429</v>
      </c>
      <c r="AX33" s="24">
        <f t="shared" si="15"/>
        <v>16571964.07</v>
      </c>
      <c r="AY33" s="25">
        <f t="shared" si="16"/>
        <v>0.9566954657</v>
      </c>
      <c r="AZ33" s="24">
        <f t="shared" si="17"/>
        <v>66287856.27</v>
      </c>
      <c r="BA33" s="30">
        <f>AZ33*'Vaccine pricing'!B3</f>
        <v>198200690.2</v>
      </c>
      <c r="BB33" s="30">
        <v>4.05552135656873E7</v>
      </c>
    </row>
    <row r="34" ht="22.5" customHeight="1">
      <c r="A34" s="3" t="s">
        <v>110</v>
      </c>
      <c r="B34" s="20">
        <f>SUMIFS('Shipments by country'!F:F, 
        'Shipments by country'!B:B, A34, 
        'Shipments by country'!C:C, "RTS,S", 
        'Shipments by country'!G:G, "Delivered")
</f>
        <v>0</v>
      </c>
      <c r="C34" s="4">
        <f>SUMIFS('Shipments by country'!F:F, 
        'Shipments by country'!B:B, A34, 
        'Shipments by country'!C:C, "R21", 
        'Shipments by country'!G:G, "Delivered")
</f>
        <v>0</v>
      </c>
      <c r="D34" s="20">
        <f t="shared" si="1"/>
        <v>0</v>
      </c>
      <c r="E34" s="4">
        <f>SUMIFS('Shipments by country'!F:F, 
        'Shipments by country'!B:B, A34, 
        'Shipments by country'!C:C, "RTS,S")
</f>
        <v>0</v>
      </c>
      <c r="F34" s="4">
        <f>SUMIFS('Shipments by country'!F:F, 
        'Shipments by country'!B:B, A34, 
        'Shipments by country'!C:C, "R21")
</f>
        <v>0</v>
      </c>
      <c r="G34" s="4">
        <f t="shared" si="2"/>
        <v>0</v>
      </c>
      <c r="H34" s="21" t="s">
        <v>80</v>
      </c>
      <c r="I34" s="6">
        <v>1.9E7</v>
      </c>
      <c r="J34" s="21">
        <v>1.3954471E7</v>
      </c>
      <c r="K34" s="23">
        <v>1878434.0</v>
      </c>
      <c r="L34" s="23">
        <f t="shared" si="3"/>
        <v>1690590.6</v>
      </c>
      <c r="M34" s="24">
        <f t="shared" si="4"/>
        <v>0</v>
      </c>
      <c r="N34" s="25">
        <f t="shared" si="5"/>
        <v>0</v>
      </c>
      <c r="O34" s="23">
        <f t="shared" si="6"/>
        <v>1690590.6</v>
      </c>
      <c r="P34" s="25">
        <f t="shared" si="7"/>
        <v>1</v>
      </c>
      <c r="Q34" s="6">
        <v>748570.0</v>
      </c>
      <c r="R34" s="6">
        <v>3349.0</v>
      </c>
      <c r="S34" s="24">
        <f t="shared" si="8"/>
        <v>53643.73899</v>
      </c>
      <c r="T34" s="24">
        <f t="shared" si="9"/>
        <v>239.9947658</v>
      </c>
      <c r="U34" s="5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$A34) ) ), 0 )"),0.0)</f>
        <v>0</v>
      </c>
      <c r="V34" s="5">
        <f>SUMIF('Shipments by country'!$B:$B,$A34,'Shipments by country'!$K:$K)</f>
        <v>0</v>
      </c>
      <c r="W34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$A34) ) ), 0 )"),0.0)</f>
        <v>0</v>
      </c>
      <c r="X34" s="5">
        <f>SUMIF('Shipments by country'!$B:$B,$A34,'Shipments by country'!$L:$L)</f>
        <v>0</v>
      </c>
      <c r="Y34" s="6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$A34) ) ), 0 )"),0.0)</f>
        <v>0</v>
      </c>
      <c r="Z34" s="5">
        <f>SUMIF('Shipments by country'!$B:$B,$A34,'Shipments by country'!$M:$M)</f>
        <v>0</v>
      </c>
      <c r="AA34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$A34) ) ), 0 )"),0.0)</f>
        <v>0</v>
      </c>
      <c r="AB34" s="5">
        <f>SUMIF('Shipments by country'!$B:$B,$A34,'Shipments by country'!$N:$N)</f>
        <v>0</v>
      </c>
      <c r="AC34" s="5">
        <f>IFERROR(__xludf.DUMMYFUNCTION("IFERROR( SUM( FILTER( 'Shipments by country'!$H$2:$H1023 * ( INDEX(Countries!$S$2:$S1023, MATCH('Shipments by country'!$B$2:$B1023, Countries!$A$2:$A1023, 0) ) / 1000000 ) * 'Shipments by country'!$J$2:$J1023, ('Shipments by country'!$E$2:$E1023 &lt; NOW()) "&amp;"* ('Shipments by country'!$I$2:$I1023 &gt; 0) * ('Shipments by country'!$B$2:$B1023 = $A34) ) ), 0 )"),0.0)</f>
        <v>0</v>
      </c>
      <c r="AD34" s="5">
        <f>SUMIF('Shipments by country'!$B:$B,$A34,'Shipments by country'!$O:$O)</f>
        <v>0</v>
      </c>
      <c r="AE34" s="5">
        <f>IFERROR(__xludf.DUMMYFUNCTION("IFERROR( SUM( FILTER( 'Shipments by country'!$H$2:$H1023 * ( INDEX(Countries!$T$2:$T1023, MATCH('Shipments by country'!$B$2:$B1023, Countries!$A$2:$A1023, 0) ) / 1000000 ) * 'Shipments by country'!$J$2:$J1023, ('Shipments by country'!$E$2:$E1023 &lt; NOW()) "&amp;"* ('Shipments by country'!$I$2:$I1023 &gt; 0) * ('Shipments by country'!$B$2:$B1023 = $A34) ) ), 0 )"),0.0)</f>
        <v>0</v>
      </c>
      <c r="AF34" s="5">
        <f>SUMIF('Shipments by country'!$B:$B,$A34,'Shipments by country'!$P:$P)</f>
        <v>0</v>
      </c>
      <c r="AG34" s="5">
        <f>IFERROR(__xludf.DUMMYFUNCTION("IFERROR(
  SUM(
    FILTER(
      'Shipments by country'!$H$2:$H1023                                *
      INDEX(Countries!$S$2:$S1023,
            MATCH('Shipments by country'!$B$2:$B1023, Countries!$A$2:$A1023, 0)
           ) / 1000000                "&amp;"                                 *
      'Shipments by country'!$J$2:$J1023,
      ( 'Shipments by country'!$E$2:$E1023 &lt;  NOW()           )        *
      ( 'Shipments by country'!$I$2:$I1023 &gt; 0.25             )        *
      ( 'Shipments by country'!$"&amp;"B$2:$B1023 =  $A34             )
    )
  ),
  0
)
"),0.0)</f>
        <v>0</v>
      </c>
      <c r="AH34" s="5">
        <f>SUMIF('Shipments by country'!$B:$B,$A34,'Shipments by country'!$Q:$Q)</f>
        <v>0</v>
      </c>
      <c r="AI34" s="26">
        <f>IFERROR(__xludf.DUMMYFUNCTION("IFERROR(
  SUM(
    FILTER(
      'Shipments by country'!$H$2:$H1023
        * ( INDEX(Countries!$T$2:$T1023,
                 MATCH('Shipments by country'!$B$2:$B1023, Countries!$A$2:$A1023, 0)
               ) / 1000000 )
        * 'Shipments by country"&amp;"'!$J$2:$J1023,
      ('Shipments by country'!$E$2:$E1023 &lt; NOW()) *
      ('Shipments by country'!$I$2:$I1023 &gt; 0.25) *
      ('Shipments by country'!$B$2:$B1023 = $A34)
    )
  ),
  0
)
"),0.0)</f>
        <v>0</v>
      </c>
      <c r="AJ34" s="5">
        <f>SUMIF('Shipments by country'!$B:$B,$A34,'Shipments by country'!$R:$R)</f>
        <v>0</v>
      </c>
      <c r="AK34" s="26">
        <f t="shared" si="10"/>
        <v>6762362.4</v>
      </c>
      <c r="AL34" s="27">
        <f>AK34*'Vaccine pricing'!B3</f>
        <v>20219463.58</v>
      </c>
      <c r="AM34" s="28" t="str">
        <f>IF($A34="","",
 LET(
  ctry,$A34,
  ctryCol,'Shipments by country'!$B$2:$B1023,
  vaccCol,'Shipments by country'!$C$2:$C1023,
  finCol,'Shipments by country'!$D$2:$D1023,
  doseCol,'Shipments by country'!$F$2:$F1023,
  price,IFERROR(VLOOKUP(vaccCol,'Vaccine pricing'!$A$2:$B1023,2,FALSE),0),
  totCost,SUMPRODUCT((ctryCol=ctry)*doseCol*price),
  gaviCost,SUMPRODUCT((ctryCol=ctry)*(finCol="Gavi")*doseCol*price),
  IF(totCost=0,"",gaviCost/totCost)
 ))
</f>
        <v/>
      </c>
      <c r="AN34" s="24">
        <v>11.0</v>
      </c>
      <c r="AO34" s="27">
        <v>1352472.4800000002</v>
      </c>
      <c r="AP34" s="24">
        <v>920.0</v>
      </c>
      <c r="AQ34" s="29">
        <f>'Vaccine pricing'!$B$3*4/((S34/1000000)*'Vaccine efficacy curves'!$C$3)</f>
        <v>297.2698579</v>
      </c>
      <c r="AR34" s="29">
        <f>'Vaccine pricing'!$B$3*4/((T34/1000000)*'Vaccine efficacy curves'!$C$3)</f>
        <v>66445.89356</v>
      </c>
      <c r="AS34" s="24">
        <f t="shared" si="11"/>
        <v>375686.8</v>
      </c>
      <c r="AT34" s="24">
        <f t="shared" si="12"/>
        <v>1502747.2</v>
      </c>
      <c r="AU34" s="30">
        <f>AT34*'Vaccine pricing'!B3</f>
        <v>4493214.128</v>
      </c>
      <c r="AV34" s="24">
        <f t="shared" si="13"/>
        <v>970524.2333</v>
      </c>
      <c r="AW34" s="25">
        <f t="shared" si="14"/>
        <v>0</v>
      </c>
      <c r="AX34" s="24">
        <f t="shared" si="15"/>
        <v>970524.2333</v>
      </c>
      <c r="AY34" s="25">
        <f t="shared" si="16"/>
        <v>1</v>
      </c>
      <c r="AZ34" s="24">
        <f t="shared" si="17"/>
        <v>3882096.933</v>
      </c>
      <c r="BA34" s="30">
        <f>AZ34*'Vaccine pricing'!B3</f>
        <v>11607469.83</v>
      </c>
      <c r="BB34" s="30">
        <v>776419.3866666667</v>
      </c>
    </row>
    <row r="35" ht="22.5" customHeight="1">
      <c r="A35" s="3" t="s">
        <v>111</v>
      </c>
      <c r="B35" s="20">
        <f>SUMIFS('Shipments by country'!F:F, 
        'Shipments by country'!B:B, A35, 
        'Shipments by country'!C:C, "RTS,S", 
        'Shipments by country'!G:G, "Delivered")
</f>
        <v>0</v>
      </c>
      <c r="C35" s="4">
        <f>SUMIFS('Shipments by country'!F:F, 
        'Shipments by country'!B:B, A35, 
        'Shipments by country'!C:C, "R21", 
        'Shipments by country'!G:G, "Delivered")
</f>
        <v>0</v>
      </c>
      <c r="D35" s="20">
        <f t="shared" si="1"/>
        <v>0</v>
      </c>
      <c r="E35" s="4">
        <f>SUMIFS('Shipments by country'!F:F, 
        'Shipments by country'!B:B, A35, 
        'Shipments by country'!C:C, "RTS,S")
</f>
        <v>0</v>
      </c>
      <c r="F35" s="4">
        <f>SUMIFS('Shipments by country'!F:F, 
        'Shipments by country'!B:B, A35, 
        'Shipments by country'!C:C, "R21")
</f>
        <v>0</v>
      </c>
      <c r="G35" s="4">
        <f t="shared" si="2"/>
        <v>0</v>
      </c>
      <c r="H35" s="21" t="s">
        <v>87</v>
      </c>
      <c r="I35" s="6">
        <v>0.0</v>
      </c>
      <c r="J35" s="21">
        <v>230871.0</v>
      </c>
      <c r="K35" s="23">
        <v>30650.0</v>
      </c>
      <c r="L35" s="23">
        <f t="shared" si="3"/>
        <v>27585</v>
      </c>
      <c r="M35" s="24">
        <f t="shared" si="4"/>
        <v>0</v>
      </c>
      <c r="N35" s="25">
        <f t="shared" si="5"/>
        <v>0</v>
      </c>
      <c r="O35" s="23">
        <f t="shared" si="6"/>
        <v>27585</v>
      </c>
      <c r="P35" s="25">
        <f t="shared" si="7"/>
        <v>1</v>
      </c>
      <c r="Q35" s="6">
        <v>2348.0</v>
      </c>
      <c r="R35" s="6">
        <v>0.0</v>
      </c>
      <c r="S35" s="24">
        <f t="shared" si="8"/>
        <v>10170.18162</v>
      </c>
      <c r="T35" s="24">
        <f t="shared" si="9"/>
        <v>0</v>
      </c>
      <c r="U35" s="5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$A35) ) ), 0 )"),0.0)</f>
        <v>0</v>
      </c>
      <c r="V35" s="5">
        <f>SUMIF('Shipments by country'!$B:$B,$A35,'Shipments by country'!$K:$K)</f>
        <v>0</v>
      </c>
      <c r="W35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$A35) ) ), 0 )"),0.0)</f>
        <v>0</v>
      </c>
      <c r="X35" s="5">
        <f>SUMIF('Shipments by country'!$B:$B,$A35,'Shipments by country'!$L:$L)</f>
        <v>0</v>
      </c>
      <c r="Y35" s="6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$A35) ) ), 0 )"),0.0)</f>
        <v>0</v>
      </c>
      <c r="Z35" s="5">
        <f>SUMIF('Shipments by country'!$B:$B,$A35,'Shipments by country'!$M:$M)</f>
        <v>0</v>
      </c>
      <c r="AA35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$A35) ) ), 0 )"),0.0)</f>
        <v>0</v>
      </c>
      <c r="AB35" s="5">
        <f>SUMIF('Shipments by country'!$B:$B,$A35,'Shipments by country'!$N:$N)</f>
        <v>0</v>
      </c>
      <c r="AC35" s="5">
        <f>IFERROR(__xludf.DUMMYFUNCTION("IFERROR( SUM( FILTER( 'Shipments by country'!$H$2:$H1023 * ( INDEX(Countries!$S$2:$S1023, MATCH('Shipments by country'!$B$2:$B1023, Countries!$A$2:$A1023, 0) ) / 1000000 ) * 'Shipments by country'!$J$2:$J1023, ('Shipments by country'!$E$2:$E1023 &lt; NOW()) "&amp;"* ('Shipments by country'!$I$2:$I1023 &gt; 0) * ('Shipments by country'!$B$2:$B1023 = $A35) ) ), 0 )"),0.0)</f>
        <v>0</v>
      </c>
      <c r="AD35" s="5">
        <f>SUMIF('Shipments by country'!$B:$B,$A35,'Shipments by country'!$O:$O)</f>
        <v>0</v>
      </c>
      <c r="AE35" s="5">
        <f>IFERROR(__xludf.DUMMYFUNCTION("IFERROR( SUM( FILTER( 'Shipments by country'!$H$2:$H1023 * ( INDEX(Countries!$T$2:$T1023, MATCH('Shipments by country'!$B$2:$B1023, Countries!$A$2:$A1023, 0) ) / 1000000 ) * 'Shipments by country'!$J$2:$J1023, ('Shipments by country'!$E$2:$E1023 &lt; NOW()) "&amp;"* ('Shipments by country'!$I$2:$I1023 &gt; 0) * ('Shipments by country'!$B$2:$B1023 = $A35) ) ), 0 )"),0.0)</f>
        <v>0</v>
      </c>
      <c r="AF35" s="5">
        <f>SUMIF('Shipments by country'!$B:$B,$A35,'Shipments by country'!$P:$P)</f>
        <v>0</v>
      </c>
      <c r="AG35" s="5">
        <f>IFERROR(__xludf.DUMMYFUNCTION("IFERROR(
  SUM(
    FILTER(
      'Shipments by country'!$H$2:$H1023                                *
      INDEX(Countries!$S$2:$S1023,
            MATCH('Shipments by country'!$B$2:$B1023, Countries!$A$2:$A1023, 0)
           ) / 1000000                "&amp;"                                 *
      'Shipments by country'!$J$2:$J1023,
      ( 'Shipments by country'!$E$2:$E1023 &lt;  NOW()           )        *
      ( 'Shipments by country'!$I$2:$I1023 &gt; 0.25             )        *
      ( 'Shipments by country'!$"&amp;"B$2:$B1023 =  $A35             )
    )
  ),
  0
)
"),0.0)</f>
        <v>0</v>
      </c>
      <c r="AH35" s="5">
        <f>SUMIF('Shipments by country'!$B:$B,$A35,'Shipments by country'!$Q:$Q)</f>
        <v>0</v>
      </c>
      <c r="AI35" s="26">
        <f>IFERROR(__xludf.DUMMYFUNCTION("IFERROR(
  SUM(
    FILTER(
      'Shipments by country'!$H$2:$H1023
        * ( INDEX(Countries!$T$2:$T1023,
                 MATCH('Shipments by country'!$B$2:$B1023, Countries!$A$2:$A1023, 0)
               ) / 1000000 )
        * 'Shipments by country"&amp;"'!$J$2:$J1023,
      ('Shipments by country'!$E$2:$E1023 &lt; NOW()) *
      ('Shipments by country'!$I$2:$I1023 &gt; 0.25) *
      ('Shipments by country'!$B$2:$B1023 = $A35)
    )
  ),
  0
)
"),0.0)</f>
        <v>0</v>
      </c>
      <c r="AJ35" s="5">
        <f>SUMIF('Shipments by country'!$B:$B,$A35,'Shipments by country'!$R:$R)</f>
        <v>0</v>
      </c>
      <c r="AK35" s="26">
        <f t="shared" si="10"/>
        <v>110340</v>
      </c>
      <c r="AL35" s="27">
        <f>AK35*'Vaccine pricing'!B3</f>
        <v>329916.6</v>
      </c>
      <c r="AM35" s="28" t="str">
        <f>IF($A35="","",
 LET(
  ctry,$A35,
  ctryCol,'Shipments by country'!$B$2:$B1023,
  vaccCol,'Shipments by country'!$C$2:$C1023,
  finCol,'Shipments by country'!$D$2:$D1023,
  doseCol,'Shipments by country'!$F$2:$F1023,
  price,IFERROR(VLOOKUP(vaccCol,'Vaccine pricing'!$A$2:$B1023,2,FALSE),0),
  totCost,SUMPRODUCT((ctryCol=ctry)*doseCol*price),
  gaviCost,SUMPRODUCT((ctryCol=ctry)*(finCol="Gavi")*doseCol*price),
  IF(totCost=0,"",gaviCost/totCost)
 ))
</f>
        <v/>
      </c>
      <c r="AN35" s="24">
        <v>8.0</v>
      </c>
      <c r="AO35" s="27">
        <v>296924.94000000006</v>
      </c>
      <c r="AP35" s="24">
        <v>2390.0</v>
      </c>
      <c r="AQ35" s="29">
        <f>'Vaccine pricing'!$B$3*4/((S35/1000000)*'Vaccine efficacy curves'!$C$3)</f>
        <v>1567.982487</v>
      </c>
      <c r="AR35" s="29" t="s">
        <v>77</v>
      </c>
      <c r="AS35" s="24">
        <f t="shared" si="11"/>
        <v>6130</v>
      </c>
      <c r="AT35" s="24">
        <f t="shared" si="12"/>
        <v>24520</v>
      </c>
      <c r="AU35" s="30">
        <f>AT35*'Vaccine pricing'!B3</f>
        <v>73314.8</v>
      </c>
      <c r="AV35" s="24">
        <f t="shared" si="13"/>
        <v>15835.83333</v>
      </c>
      <c r="AW35" s="25">
        <f t="shared" si="14"/>
        <v>0</v>
      </c>
      <c r="AX35" s="24">
        <f t="shared" si="15"/>
        <v>15835.83333</v>
      </c>
      <c r="AY35" s="25">
        <f t="shared" si="16"/>
        <v>1</v>
      </c>
      <c r="AZ35" s="24">
        <f t="shared" si="17"/>
        <v>63343.33333</v>
      </c>
      <c r="BA35" s="30">
        <f>AZ35*'Vaccine pricing'!B3</f>
        <v>189396.5667</v>
      </c>
      <c r="BB35" s="30">
        <v>170456.91000000003</v>
      </c>
    </row>
    <row r="36" ht="22.5" customHeight="1">
      <c r="A36" s="3" t="s">
        <v>112</v>
      </c>
      <c r="B36" s="20">
        <f>SUMIFS('Shipments by country'!F:F, 
        'Shipments by country'!B:B, A36, 
        'Shipments by country'!C:C, "RTS,S", 
        'Shipments by country'!G:G, "Delivered")
</f>
        <v>0</v>
      </c>
      <c r="C36" s="4">
        <f>SUMIFS('Shipments by country'!F:F, 
        'Shipments by country'!B:B, A36, 
        'Shipments by country'!C:C, "R21", 
        'Shipments by country'!G:G, "Delivered")
</f>
        <v>0</v>
      </c>
      <c r="D36" s="20">
        <f t="shared" si="1"/>
        <v>0</v>
      </c>
      <c r="E36" s="4">
        <f>SUMIFS('Shipments by country'!F:F, 
        'Shipments by country'!B:B, A36, 
        'Shipments by country'!C:C, "RTS,S")
</f>
        <v>0</v>
      </c>
      <c r="F36" s="4">
        <f>SUMIFS('Shipments by country'!F:F, 
        'Shipments by country'!B:B, A36, 
        'Shipments by country'!C:C, "R21")
</f>
        <v>0</v>
      </c>
      <c r="G36" s="4">
        <f t="shared" si="2"/>
        <v>0</v>
      </c>
      <c r="H36" s="21" t="s">
        <v>74</v>
      </c>
      <c r="I36" s="6">
        <v>2.4E7</v>
      </c>
      <c r="J36" s="21">
        <v>1.8077573E7</v>
      </c>
      <c r="K36" s="23">
        <v>2451638.0</v>
      </c>
      <c r="L36" s="23">
        <f t="shared" si="3"/>
        <v>2206474.2</v>
      </c>
      <c r="M36" s="24">
        <f t="shared" si="4"/>
        <v>0</v>
      </c>
      <c r="N36" s="25">
        <f t="shared" si="5"/>
        <v>0</v>
      </c>
      <c r="O36" s="23">
        <f t="shared" si="6"/>
        <v>2206474.2</v>
      </c>
      <c r="P36" s="25">
        <f t="shared" si="7"/>
        <v>1</v>
      </c>
      <c r="Q36" s="6">
        <v>1199388.0</v>
      </c>
      <c r="R36" s="6">
        <v>3070.0</v>
      </c>
      <c r="S36" s="24">
        <f t="shared" si="8"/>
        <v>66346.73803</v>
      </c>
      <c r="T36" s="24">
        <f t="shared" si="9"/>
        <v>169.8236815</v>
      </c>
      <c r="U36" s="5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$A36) ) ), 0 )"),0.0)</f>
        <v>0</v>
      </c>
      <c r="V36" s="5">
        <f>SUMIF('Shipments by country'!$B:$B,$A36,'Shipments by country'!$K:$K)</f>
        <v>0</v>
      </c>
      <c r="W36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$A36) ) ), 0 )"),0.0)</f>
        <v>0</v>
      </c>
      <c r="X36" s="5">
        <f>SUMIF('Shipments by country'!$B:$B,$A36,'Shipments by country'!$L:$L)</f>
        <v>0</v>
      </c>
      <c r="Y36" s="6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$A36) ) ), 0 )"),0.0)</f>
        <v>0</v>
      </c>
      <c r="Z36" s="5">
        <f>SUMIF('Shipments by country'!$B:$B,$A36,'Shipments by country'!$M:$M)</f>
        <v>0</v>
      </c>
      <c r="AA36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$A36) ) ), 0 )"),0.0)</f>
        <v>0</v>
      </c>
      <c r="AB36" s="5">
        <f>SUMIF('Shipments by country'!$B:$B,$A36,'Shipments by country'!$N:$N)</f>
        <v>0</v>
      </c>
      <c r="AC36" s="5">
        <f>IFERROR(__xludf.DUMMYFUNCTION("IFERROR( SUM( FILTER( 'Shipments by country'!$H$2:$H1023 * ( INDEX(Countries!$S$2:$S1023, MATCH('Shipments by country'!$B$2:$B1023, Countries!$A$2:$A1023, 0) ) / 1000000 ) * 'Shipments by country'!$J$2:$J1023, ('Shipments by country'!$E$2:$E1023 &lt; NOW()) "&amp;"* ('Shipments by country'!$I$2:$I1023 &gt; 0) * ('Shipments by country'!$B$2:$B1023 = $A36) ) ), 0 )"),0.0)</f>
        <v>0</v>
      </c>
      <c r="AD36" s="5">
        <f>SUMIF('Shipments by country'!$B:$B,$A36,'Shipments by country'!$O:$O)</f>
        <v>0</v>
      </c>
      <c r="AE36" s="5">
        <f>IFERROR(__xludf.DUMMYFUNCTION("IFERROR( SUM( FILTER( 'Shipments by country'!$H$2:$H1023 * ( INDEX(Countries!$T$2:$T1023, MATCH('Shipments by country'!$B$2:$B1023, Countries!$A$2:$A1023, 0) ) / 1000000 ) * 'Shipments by country'!$J$2:$J1023, ('Shipments by country'!$E$2:$E1023 &lt; NOW()) "&amp;"* ('Shipments by country'!$I$2:$I1023 &gt; 0) * ('Shipments by country'!$B$2:$B1023 = $A36) ) ), 0 )"),0.0)</f>
        <v>0</v>
      </c>
      <c r="AF36" s="5">
        <f>SUMIF('Shipments by country'!$B:$B,$A36,'Shipments by country'!$P:$P)</f>
        <v>0</v>
      </c>
      <c r="AG36" s="5">
        <f>IFERROR(__xludf.DUMMYFUNCTION("IFERROR(
  SUM(
    FILTER(
      'Shipments by country'!$H$2:$H1023                                *
      INDEX(Countries!$S$2:$S1023,
            MATCH('Shipments by country'!$B$2:$B1023, Countries!$A$2:$A1023, 0)
           ) / 1000000                "&amp;"                                 *
      'Shipments by country'!$J$2:$J1023,
      ( 'Shipments by country'!$E$2:$E1023 &lt;  NOW()           )        *
      ( 'Shipments by country'!$I$2:$I1023 &gt; 0.25             )        *
      ( 'Shipments by country'!$"&amp;"B$2:$B1023 =  $A36             )
    )
  ),
  0
)
"),0.0)</f>
        <v>0</v>
      </c>
      <c r="AH36" s="5">
        <f>SUMIF('Shipments by country'!$B:$B,$A36,'Shipments by country'!$Q:$Q)</f>
        <v>0</v>
      </c>
      <c r="AI36" s="26">
        <f>IFERROR(__xludf.DUMMYFUNCTION("IFERROR(
  SUM(
    FILTER(
      'Shipments by country'!$H$2:$H1023
        * ( INDEX(Countries!$T$2:$T1023,
                 MATCH('Shipments by country'!$B$2:$B1023, Countries!$A$2:$A1023, 0)
               ) / 1000000 )
        * 'Shipments by country"&amp;"'!$J$2:$J1023,
      ('Shipments by country'!$E$2:$E1023 &lt; NOW()) *
      ('Shipments by country'!$I$2:$I1023 &gt; 0.25) *
      ('Shipments by country'!$B$2:$B1023 = $A36)
    )
  ),
  0
)
"),0.0)</f>
        <v>0</v>
      </c>
      <c r="AJ36" s="5">
        <f>SUMIF('Shipments by country'!$B:$B,$A36,'Shipments by country'!$R:$R)</f>
        <v>0</v>
      </c>
      <c r="AK36" s="26">
        <f t="shared" si="10"/>
        <v>8825896.8</v>
      </c>
      <c r="AL36" s="27">
        <f>AK36*'Vaccine pricing'!B3</f>
        <v>26389431.43</v>
      </c>
      <c r="AM36" s="28" t="str">
        <f>IF($A36="","",
 LET(
  ctry,$A36,
  ctryCol,'Shipments by country'!$B$2:$B1023,
  vaccCol,'Shipments by country'!$C$2:$C1023,
  finCol,'Shipments by country'!$D$2:$D1023,
  doseCol,'Shipments by country'!$F$2:$F1023,
  price,IFERROR(VLOOKUP(vaccCol,'Vaccine pricing'!$A$2:$B1023,2,FALSE),0),
  totCost,SUMPRODUCT((ctryCol=ctry)*doseCol*price),
  gaviCost,SUMPRODUCT((ctryCol=ctry)*(finCol="Gavi")*doseCol*price),
  IF(totCost=0,"",gaviCost/totCost)
 ))
</f>
        <v/>
      </c>
      <c r="AN36" s="24">
        <v>6.0</v>
      </c>
      <c r="AO36" s="27">
        <v>3550406.1929626497</v>
      </c>
      <c r="AP36" s="24">
        <v>1613.0</v>
      </c>
      <c r="AQ36" s="29">
        <f>'Vaccine pricing'!$B$3*4/((S36/1000000)*'Vaccine efficacy curves'!$C$3)</f>
        <v>240.3534392</v>
      </c>
      <c r="AR36" s="29">
        <f>'Vaccine pricing'!$B$3*4/((T36/1000000)*'Vaccine efficacy curves'!$C$3)</f>
        <v>93901.31296</v>
      </c>
      <c r="AS36" s="24">
        <f t="shared" si="11"/>
        <v>490327.6</v>
      </c>
      <c r="AT36" s="24">
        <f t="shared" si="12"/>
        <v>1961310.4</v>
      </c>
      <c r="AU36" s="31">
        <f>AT36*'Vaccine pricing'!B3</f>
        <v>5864318.096</v>
      </c>
      <c r="AV36" s="24">
        <f t="shared" si="13"/>
        <v>1266679.633</v>
      </c>
      <c r="AW36" s="25">
        <f t="shared" si="14"/>
        <v>0</v>
      </c>
      <c r="AX36" s="24">
        <f t="shared" si="15"/>
        <v>1266679.633</v>
      </c>
      <c r="AY36" s="25">
        <f t="shared" si="16"/>
        <v>1</v>
      </c>
      <c r="AZ36" s="24">
        <f t="shared" si="17"/>
        <v>5066718.533</v>
      </c>
      <c r="BA36" s="30">
        <f>AZ36*'Vaccine pricing'!B3</f>
        <v>15149488.41</v>
      </c>
      <c r="BB36" s="30">
        <v>2038196.147811891</v>
      </c>
    </row>
    <row r="37" ht="22.5" customHeight="1">
      <c r="A37" s="3" t="s">
        <v>113</v>
      </c>
      <c r="B37" s="20">
        <f>SUMIFS('Shipments by country'!F:F, 
        'Shipments by country'!B:B, A37, 
        'Shipments by country'!C:C, "RTS,S", 
        'Shipments by country'!G:G, "Delivered")
</f>
        <v>1761400</v>
      </c>
      <c r="C37" s="4">
        <f>SUMIFS('Shipments by country'!F:F, 
        'Shipments by country'!B:B, A37, 
        'Shipments by country'!C:C, "R21", 
        'Shipments by country'!G:G, "Delivered")
</f>
        <v>0</v>
      </c>
      <c r="D37" s="20">
        <f t="shared" si="1"/>
        <v>1761400</v>
      </c>
      <c r="E37" s="4">
        <f>SUMIFS('Shipments by country'!F:F, 
        'Shipments by country'!B:B, A37, 
        'Shipments by country'!C:C, "RTS,S")
</f>
        <v>1782250</v>
      </c>
      <c r="F37" s="4">
        <f>SUMIFS('Shipments by country'!F:F, 
        'Shipments by country'!B:B, A37, 
        'Shipments by country'!C:C, "R21")
</f>
        <v>0</v>
      </c>
      <c r="G37" s="4">
        <f t="shared" si="2"/>
        <v>1782250</v>
      </c>
      <c r="H37" s="21" t="s">
        <v>80</v>
      </c>
      <c r="I37" s="6">
        <v>1.6E7</v>
      </c>
      <c r="J37" s="21">
        <v>8460512.0</v>
      </c>
      <c r="K37" s="23">
        <v>1163736.0</v>
      </c>
      <c r="L37" s="23">
        <f t="shared" si="3"/>
        <v>1047362.4</v>
      </c>
      <c r="M37" s="24">
        <f t="shared" si="4"/>
        <v>445562.5</v>
      </c>
      <c r="N37" s="25">
        <f t="shared" si="5"/>
        <v>0.4254138778</v>
      </c>
      <c r="O37" s="23">
        <f t="shared" si="6"/>
        <v>601799.9</v>
      </c>
      <c r="P37" s="25">
        <f t="shared" si="7"/>
        <v>0.5745861222</v>
      </c>
      <c r="Q37" s="6">
        <v>2479839.0</v>
      </c>
      <c r="R37" s="6">
        <v>6635.0</v>
      </c>
      <c r="S37" s="24">
        <f t="shared" si="8"/>
        <v>293107.4384</v>
      </c>
      <c r="T37" s="24">
        <f t="shared" si="9"/>
        <v>784.231498</v>
      </c>
      <c r="U37" s="5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$A37) ) ), 0 )"),88200.76955604016)</f>
        <v>88200.76956</v>
      </c>
      <c r="V37" s="5">
        <f>SUMIF('Shipments by country'!$B:$B,$A37,'Shipments by country'!$K:$K)</f>
        <v>1669.70212</v>
      </c>
      <c r="W37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$A37) ) ), 0 )"),174.96344922316626)</f>
        <v>174.9634492</v>
      </c>
      <c r="X37" s="5">
        <f>SUMIF('Shipments by country'!$B:$B,$A37,'Shipments by country'!$L:$L)</f>
        <v>73760.67993</v>
      </c>
      <c r="Y37" s="6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$A37) ) ), 0 )"),87168.93561285405)</f>
        <v>87168.93561</v>
      </c>
      <c r="Z37" s="5">
        <f>SUMIF('Shipments by country'!$B:$B,$A37,'Shipments by country'!$M:$M)</f>
        <v>1259.946758</v>
      </c>
      <c r="AA37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$A37) ) ), 0 )"),172.9166051124618)</f>
        <v>172.9166051</v>
      </c>
      <c r="AB37" s="5">
        <f>SUMIF('Shipments by country'!$B:$B,$A37,'Shipments by country'!$N:$N)</f>
        <v>55659.34691</v>
      </c>
      <c r="AC37" s="5">
        <f>IFERROR(__xludf.DUMMYFUNCTION("IFERROR( SUM( FILTER( 'Shipments by country'!$H$2:$H1023 * ( INDEX(Countries!$S$2:$S1023, MATCH('Shipments by country'!$B$2:$B1023, Countries!$A$2:$A1023, 0) ) / 1000000 ) * 'Shipments by country'!$J$2:$J1023, ('Shipments by country'!$E$2:$E1023 &lt; NOW()) "&amp;"* ('Shipments by country'!$I$2:$I1023 &gt; 0) * ('Shipments by country'!$B$2:$B1023 = $A37) ) ), 0 )"),84637.66990724106)</f>
        <v>84637.66991</v>
      </c>
      <c r="AD37" s="5">
        <f>SUMIF('Shipments by country'!$B:$B,$A37,'Shipments by country'!$O:$O)</f>
        <v>1613.969182</v>
      </c>
      <c r="AE37" s="5">
        <f>IFERROR(__xludf.DUMMYFUNCTION("IFERROR( SUM( FILTER( 'Shipments by country'!$H$2:$H1023 * ( INDEX(Countries!$T$2:$T1023, MATCH('Shipments by country'!$B$2:$B1023, Countries!$A$2:$A1023, 0) ) / 1000000 ) * 'Shipments by country'!$J$2:$J1023, ('Shipments by country'!$E$2:$E1023 &lt; NOW()) "&amp;"* ('Shipments by country'!$I$2:$I1023 &gt; 0) * ('Shipments by country'!$B$2:$B1023 = $A37) ) ), 0 )"),167.89534530958707)</f>
        <v>167.8953453</v>
      </c>
      <c r="AF37" s="5">
        <f>SUMIF('Shipments by country'!$B:$B,$A37,'Shipments by country'!$P:$P)</f>
        <v>71298.62438</v>
      </c>
      <c r="AG37" s="5">
        <f>IFERROR(__xludf.DUMMYFUNCTION("IFERROR(
  SUM(
    FILTER(
      'Shipments by country'!$H$2:$H1023                                *
      INDEX(Countries!$S$2:$S1023,
            MATCH('Shipments by country'!$B$2:$B1023, Countries!$A$2:$A1023, 0)
           ) / 1000000                "&amp;"                                 *
      'Shipments by country'!$J$2:$J1023,
      ( 'Shipments by country'!$E$2:$E1023 &lt;  NOW()           )        *
      ( 'Shipments by country'!$I$2:$I1023 &gt; 0.25             )        *
      ( 'Shipments by country'!$"&amp;"B$2:$B1023 =  $A37             )
    )
  ),
  0
)
"),83605.83596405495)</f>
        <v>83605.83596</v>
      </c>
      <c r="AH37" s="5">
        <f>SUMIF('Shipments by country'!$B:$B,$A37,'Shipments by country'!$Q:$Q)</f>
        <v>17234.20395</v>
      </c>
      <c r="AI37" s="26">
        <f>IFERROR(__xludf.DUMMYFUNCTION("IFERROR(
  SUM(
    FILTER(
      'Shipments by country'!$H$2:$H1023
        * ( INDEX(Countries!$T$2:$T1023,
                 MATCH('Shipments by country'!$B$2:$B1023, Countries!$A$2:$A1023, 0)
               ) / 1000000 )
        * 'Shipments by country"&amp;"'!$J$2:$J1023,
      ('Shipments by country'!$E$2:$E1023 &lt; NOW()) *
      ('Shipments by country'!$I$2:$I1023 &gt; 0.25) *
      ('Shipments by country'!$B$2:$B1023 = $A37)
    )
  ),
  0
)
"),165.84850119888262)</f>
        <v>165.8485012</v>
      </c>
      <c r="AJ37" s="5">
        <f>SUMIF('Shipments by country'!$B:$B,$A37,'Shipments by country'!$R:$R)</f>
        <v>46.11143837</v>
      </c>
      <c r="AK37" s="26">
        <f t="shared" si="10"/>
        <v>2407199.6</v>
      </c>
      <c r="AL37" s="27">
        <f>AK37*'Vaccine pricing'!B3</f>
        <v>7197526.804</v>
      </c>
      <c r="AM37" s="28">
        <f>IF($A37="","",
 LET(
  ctry,$A37,
  ctryCol,'Shipments by country'!$B$2:$B1023,
  vaccCol,'Shipments by country'!$C$2:$C1023,
  finCol,'Shipments by country'!$D$2:$D1023,
  doseCol,'Shipments by country'!$F$2:$F1023,
  price,IFERROR(VLOOKUP(vaccCol,'Vaccine pricing'!$A$2:$B1023,2,FALSE),0),
  totCost,SUMPRODUCT((ctryCol=ctry)*doseCol*price),
  gaviCost,SUMPRODUCT((ctryCol=ctry)*(finCol="Gavi")*doseCol*price),
  IF(totCost=0,"",gaviCost/totCost)
 ))
</f>
        <v>0.9785383644</v>
      </c>
      <c r="AN37" s="24">
        <v>11.0</v>
      </c>
      <c r="AO37" s="27">
        <v>481439.92000000004</v>
      </c>
      <c r="AP37" s="24">
        <v>527.0</v>
      </c>
      <c r="AQ37" s="29">
        <f>'Vaccine pricing'!$B$3*4/((S37/1000000)*'Vaccine efficacy curves'!$C$3)</f>
        <v>54.40553386</v>
      </c>
      <c r="AR37" s="29">
        <f>'Vaccine pricing'!$B$3*4/((T37/1000000)*'Vaccine efficacy curves'!$C$3)</f>
        <v>20334.13183</v>
      </c>
      <c r="AS37" s="24">
        <f t="shared" si="11"/>
        <v>232747.2</v>
      </c>
      <c r="AT37" s="24">
        <f t="shared" si="12"/>
        <v>930988.8</v>
      </c>
      <c r="AU37" s="30">
        <f>AT37*'Vaccine pricing'!B3</f>
        <v>2783656.512</v>
      </c>
      <c r="AV37" s="24">
        <f t="shared" si="13"/>
        <v>601263.6</v>
      </c>
      <c r="AW37" s="25">
        <f t="shared" si="14"/>
        <v>0.741043529</v>
      </c>
      <c r="AX37" s="24">
        <f t="shared" si="15"/>
        <v>155701.1</v>
      </c>
      <c r="AY37" s="25">
        <f t="shared" si="16"/>
        <v>0.258956471</v>
      </c>
      <c r="AZ37" s="24">
        <f t="shared" si="17"/>
        <v>622804.4</v>
      </c>
      <c r="BA37" s="30">
        <f>AZ37*'Vaccine pricing'!B3</f>
        <v>1862185.156</v>
      </c>
      <c r="BB37" s="30">
        <v>124560.87999999999</v>
      </c>
    </row>
    <row r="38" ht="22.5" customHeight="1">
      <c r="A38" s="3" t="s">
        <v>114</v>
      </c>
      <c r="B38" s="20">
        <f>SUMIFS('Shipments by country'!F:F, 
        'Shipments by country'!B:B, A38, 
        'Shipments by country'!C:C, "RTS,S", 
        'Shipments by country'!G:G, "Delivered")
</f>
        <v>0</v>
      </c>
      <c r="C38" s="4">
        <f>SUMIFS('Shipments by country'!F:F, 
        'Shipments by country'!B:B, A38, 
        'Shipments by country'!C:C, "R21", 
        'Shipments by country'!G:G, "Delivered")
</f>
        <v>0</v>
      </c>
      <c r="D38" s="20">
        <f t="shared" si="1"/>
        <v>0</v>
      </c>
      <c r="E38" s="4">
        <f>SUMIFS('Shipments by country'!F:F, 
        'Shipments by country'!B:B, A38, 
        'Shipments by country'!C:C, "RTS,S")
</f>
        <v>0</v>
      </c>
      <c r="F38" s="4">
        <f>SUMIFS('Shipments by country'!F:F, 
        'Shipments by country'!B:B, A38, 
        'Shipments by country'!C:C, "R21")
</f>
        <v>0</v>
      </c>
      <c r="G38" s="4">
        <f t="shared" si="2"/>
        <v>0</v>
      </c>
      <c r="H38" s="21" t="s">
        <v>80</v>
      </c>
      <c r="I38" s="6">
        <v>0.0</v>
      </c>
      <c r="J38" s="21">
        <v>1.8358615E7</v>
      </c>
      <c r="K38" s="23">
        <v>3411708.0</v>
      </c>
      <c r="L38" s="23">
        <f t="shared" si="3"/>
        <v>3070537.2</v>
      </c>
      <c r="M38" s="24">
        <f t="shared" si="4"/>
        <v>0</v>
      </c>
      <c r="N38" s="25">
        <f t="shared" si="5"/>
        <v>0</v>
      </c>
      <c r="O38" s="23">
        <f t="shared" si="6"/>
        <v>3070537.2</v>
      </c>
      <c r="P38" s="25">
        <f t="shared" si="7"/>
        <v>1</v>
      </c>
      <c r="Q38" s="6">
        <v>1081187.0</v>
      </c>
      <c r="R38" s="6">
        <v>2611.0</v>
      </c>
      <c r="S38" s="24">
        <f t="shared" si="8"/>
        <v>58892.62344</v>
      </c>
      <c r="T38" s="24">
        <f t="shared" si="9"/>
        <v>142.2220576</v>
      </c>
      <c r="U38" s="5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$A38) ) ), 0 )"),0.0)</f>
        <v>0</v>
      </c>
      <c r="V38" s="5">
        <f>SUMIF('Shipments by country'!$B:$B,$A38,'Shipments by country'!$K:$K)</f>
        <v>0</v>
      </c>
      <c r="W38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$A38) ) ), 0 )"),0.0)</f>
        <v>0</v>
      </c>
      <c r="X38" s="5">
        <f>SUMIF('Shipments by country'!$B:$B,$A38,'Shipments by country'!$L:$L)</f>
        <v>0</v>
      </c>
      <c r="Y38" s="6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$A38) ) ), 0 )"),0.0)</f>
        <v>0</v>
      </c>
      <c r="Z38" s="5">
        <f>SUMIF('Shipments by country'!$B:$B,$A38,'Shipments by country'!$M:$M)</f>
        <v>0</v>
      </c>
      <c r="AA38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$A38) ) ), 0 )"),0.0)</f>
        <v>0</v>
      </c>
      <c r="AB38" s="5">
        <f>SUMIF('Shipments by country'!$B:$B,$A38,'Shipments by country'!$N:$N)</f>
        <v>0</v>
      </c>
      <c r="AC38" s="5">
        <f>IFERROR(__xludf.DUMMYFUNCTION("IFERROR( SUM( FILTER( 'Shipments by country'!$H$2:$H1023 * ( INDEX(Countries!$S$2:$S1023, MATCH('Shipments by country'!$B$2:$B1023, Countries!$A$2:$A1023, 0) ) / 1000000 ) * 'Shipments by country'!$J$2:$J1023, ('Shipments by country'!$E$2:$E1023 &lt; NOW()) "&amp;"* ('Shipments by country'!$I$2:$I1023 &gt; 0) * ('Shipments by country'!$B$2:$B1023 = $A38) ) ), 0 )"),0.0)</f>
        <v>0</v>
      </c>
      <c r="AD38" s="5">
        <f>SUMIF('Shipments by country'!$B:$B,$A38,'Shipments by country'!$O:$O)</f>
        <v>0</v>
      </c>
      <c r="AE38" s="5">
        <f>IFERROR(__xludf.DUMMYFUNCTION("IFERROR( SUM( FILTER( 'Shipments by country'!$H$2:$H1023 * ( INDEX(Countries!$T$2:$T1023, MATCH('Shipments by country'!$B$2:$B1023, Countries!$A$2:$A1023, 0) ) / 1000000 ) * 'Shipments by country'!$J$2:$J1023, ('Shipments by country'!$E$2:$E1023 &lt; NOW()) "&amp;"* ('Shipments by country'!$I$2:$I1023 &gt; 0) * ('Shipments by country'!$B$2:$B1023 = $A38) ) ), 0 )"),0.0)</f>
        <v>0</v>
      </c>
      <c r="AF38" s="5">
        <f>SUMIF('Shipments by country'!$B:$B,$A38,'Shipments by country'!$P:$P)</f>
        <v>0</v>
      </c>
      <c r="AG38" s="5">
        <f>IFERROR(__xludf.DUMMYFUNCTION("IFERROR(
  SUM(
    FILTER(
      'Shipments by country'!$H$2:$H1023                                *
      INDEX(Countries!$S$2:$S1023,
            MATCH('Shipments by country'!$B$2:$B1023, Countries!$A$2:$A1023, 0)
           ) / 1000000                "&amp;"                                 *
      'Shipments by country'!$J$2:$J1023,
      ( 'Shipments by country'!$E$2:$E1023 &lt;  NOW()           )        *
      ( 'Shipments by country'!$I$2:$I1023 &gt; 0.25             )        *
      ( 'Shipments by country'!$"&amp;"B$2:$B1023 =  $A38             )
    )
  ),
  0
)
"),0.0)</f>
        <v>0</v>
      </c>
      <c r="AH38" s="5">
        <f>SUMIF('Shipments by country'!$B:$B,$A38,'Shipments by country'!$Q:$Q)</f>
        <v>0</v>
      </c>
      <c r="AI38" s="26">
        <f>IFERROR(__xludf.DUMMYFUNCTION("IFERROR(
  SUM(
    FILTER(
      'Shipments by country'!$H$2:$H1023
        * ( INDEX(Countries!$T$2:$T1023,
                 MATCH('Shipments by country'!$B$2:$B1023, Countries!$A$2:$A1023, 0)
               ) / 1000000 )
        * 'Shipments by country"&amp;"'!$J$2:$J1023,
      ('Shipments by country'!$E$2:$E1023 &lt; NOW()) *
      ('Shipments by country'!$I$2:$I1023 &gt; 0.25) *
      ('Shipments by country'!$B$2:$B1023 = $A38)
    )
  ),
  0
)
"),0.0)</f>
        <v>0</v>
      </c>
      <c r="AJ38" s="5">
        <f>SUMIF('Shipments by country'!$B:$B,$A38,'Shipments by country'!$R:$R)</f>
        <v>0</v>
      </c>
      <c r="AK38" s="26">
        <f t="shared" si="10"/>
        <v>12282148.8</v>
      </c>
      <c r="AL38" s="27">
        <f>AK38*'Vaccine pricing'!B3</f>
        <v>36723624.91</v>
      </c>
      <c r="AM38" s="28" t="str">
        <f>IF($A38="","",
 LET(
  ctry,$A38,
  ctryCol,'Shipments by country'!$B$2:$B1023,
  vaccCol,'Shipments by country'!$C$2:$C1023,
  finCol,'Shipments by country'!$D$2:$D1023,
  doseCol,'Shipments by country'!$F$2:$F1023,
  price,IFERROR(VLOOKUP(vaccCol,'Vaccine pricing'!$A$2:$B1023,2,FALSE),0),
  totCost,SUMPRODUCT((ctryCol=ctry)*doseCol*price),
  gaviCost,SUMPRODUCT((ctryCol=ctry)*(finCol="Gavi")*doseCol*price),
  IF(totCost=0,"",gaviCost/totCost)
 ))
</f>
        <v/>
      </c>
      <c r="AN38" s="24">
        <v>11.0</v>
      </c>
      <c r="AO38" s="27">
        <v>2456429.7600000002</v>
      </c>
      <c r="AP38" s="24">
        <v>510.0</v>
      </c>
      <c r="AQ38" s="29">
        <f>'Vaccine pricing'!$B$3*4/((S38/1000000)*'Vaccine efficacy curves'!$C$3)</f>
        <v>270.7752811</v>
      </c>
      <c r="AR38" s="29">
        <f>'Vaccine pricing'!$B$3*4/((T38/1000000)*'Vaccine efficacy curves'!$C$3)</f>
        <v>112125.1298</v>
      </c>
      <c r="AS38" s="24">
        <f t="shared" si="11"/>
        <v>682341.6</v>
      </c>
      <c r="AT38" s="24">
        <f t="shared" si="12"/>
        <v>2729366.4</v>
      </c>
      <c r="AU38" s="30">
        <f>AT38*'Vaccine pricing'!B3</f>
        <v>8160805.536</v>
      </c>
      <c r="AV38" s="24">
        <f t="shared" si="13"/>
        <v>1762715.8</v>
      </c>
      <c r="AW38" s="25">
        <f t="shared" si="14"/>
        <v>0</v>
      </c>
      <c r="AX38" s="24">
        <f t="shared" si="15"/>
        <v>1762715.8</v>
      </c>
      <c r="AY38" s="25">
        <f t="shared" si="16"/>
        <v>1</v>
      </c>
      <c r="AZ38" s="24">
        <f t="shared" si="17"/>
        <v>7050863.2</v>
      </c>
      <c r="BA38" s="30">
        <f>AZ38*'Vaccine pricing'!B3</f>
        <v>21082080.97</v>
      </c>
      <c r="BB38" s="30">
        <v>1410172.6400000001</v>
      </c>
    </row>
    <row r="39" ht="22.5" customHeight="1">
      <c r="A39" s="3" t="s">
        <v>115</v>
      </c>
      <c r="B39" s="20">
        <f>SUMIFS('Shipments by country'!F:F, 
        'Shipments by country'!B:B, A39, 
        'Shipments by country'!C:C, "RTS,S", 
        'Shipments by country'!G:G, "Delivered")
</f>
        <v>0</v>
      </c>
      <c r="C39" s="4">
        <f>SUMIFS('Shipments by country'!F:F, 
        'Shipments by country'!B:B, A39, 
        'Shipments by country'!C:C, "R21", 
        'Shipments by country'!G:G, "Delivered")
</f>
        <v>0</v>
      </c>
      <c r="D39" s="20">
        <f t="shared" si="1"/>
        <v>0</v>
      </c>
      <c r="E39" s="4">
        <f>SUMIFS('Shipments by country'!F:F, 
        'Shipments by country'!B:B, A39, 
        'Shipments by country'!C:C, "RTS,S")
</f>
        <v>0</v>
      </c>
      <c r="F39" s="4">
        <f>SUMIFS('Shipments by country'!F:F, 
        'Shipments by country'!B:B, A39, 
        'Shipments by country'!C:C, "R21")
</f>
        <v>0</v>
      </c>
      <c r="G39" s="4">
        <f t="shared" si="2"/>
        <v>0</v>
      </c>
      <c r="H39" s="21" t="s">
        <v>76</v>
      </c>
      <c r="I39" s="6">
        <v>0.0</v>
      </c>
      <c r="J39" s="21">
        <v>6321238.0</v>
      </c>
      <c r="K39" s="23">
        <v>5887777.0</v>
      </c>
      <c r="L39" s="23">
        <f t="shared" si="3"/>
        <v>5298999.3</v>
      </c>
      <c r="M39" s="24">
        <f t="shared" si="4"/>
        <v>0</v>
      </c>
      <c r="N39" s="25">
        <f t="shared" si="5"/>
        <v>0</v>
      </c>
      <c r="O39" s="23">
        <f t="shared" si="6"/>
        <v>5298999.3</v>
      </c>
      <c r="P39" s="25">
        <f t="shared" si="7"/>
        <v>1</v>
      </c>
      <c r="Q39" s="6">
        <v>5291.0</v>
      </c>
      <c r="R39" s="6">
        <v>64.0</v>
      </c>
      <c r="S39" s="24">
        <f t="shared" si="8"/>
        <v>837.0195838</v>
      </c>
      <c r="T39" s="24">
        <f t="shared" si="9"/>
        <v>10.12459901</v>
      </c>
      <c r="U39" s="5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$A39) ) ), 0 )"),0.0)</f>
        <v>0</v>
      </c>
      <c r="V39" s="5">
        <f>SUMIF('Shipments by country'!$B:$B,$A39,'Shipments by country'!$K:$K)</f>
        <v>0</v>
      </c>
      <c r="W39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$A39) ) ), 0 )"),0.0)</f>
        <v>0</v>
      </c>
      <c r="X39" s="5">
        <f>SUMIF('Shipments by country'!$B:$B,$A39,'Shipments by country'!$L:$L)</f>
        <v>0</v>
      </c>
      <c r="Y39" s="6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$A39) ) ), 0 )"),0.0)</f>
        <v>0</v>
      </c>
      <c r="Z39" s="5">
        <f>SUMIF('Shipments by country'!$B:$B,$A39,'Shipments by country'!$M:$M)</f>
        <v>0</v>
      </c>
      <c r="AA39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$A39) ) ), 0 )"),0.0)</f>
        <v>0</v>
      </c>
      <c r="AB39" s="5">
        <f>SUMIF('Shipments by country'!$B:$B,$A39,'Shipments by country'!$N:$N)</f>
        <v>0</v>
      </c>
      <c r="AC39" s="5">
        <f>IFERROR(__xludf.DUMMYFUNCTION("IFERROR( SUM( FILTER( 'Shipments by country'!$H$2:$H1023 * ( INDEX(Countries!$S$2:$S1023, MATCH('Shipments by country'!$B$2:$B1023, Countries!$A$2:$A1023, 0) ) / 1000000 ) * 'Shipments by country'!$J$2:$J1023, ('Shipments by country'!$E$2:$E1023 &lt; NOW()) "&amp;"* ('Shipments by country'!$I$2:$I1023 &gt; 0) * ('Shipments by country'!$B$2:$B1023 = $A39) ) ), 0 )"),0.0)</f>
        <v>0</v>
      </c>
      <c r="AD39" s="5">
        <f>SUMIF('Shipments by country'!$B:$B,$A39,'Shipments by country'!$O:$O)</f>
        <v>0</v>
      </c>
      <c r="AE39" s="5">
        <f>IFERROR(__xludf.DUMMYFUNCTION("IFERROR( SUM( FILTER( 'Shipments by country'!$H$2:$H1023 * ( INDEX(Countries!$T$2:$T1023, MATCH('Shipments by country'!$B$2:$B1023, Countries!$A$2:$A1023, 0) ) / 1000000 ) * 'Shipments by country'!$J$2:$J1023, ('Shipments by country'!$E$2:$E1023 &lt; NOW()) "&amp;"* ('Shipments by country'!$I$2:$I1023 &gt; 0) * ('Shipments by country'!$B$2:$B1023 = $A39) ) ), 0 )"),0.0)</f>
        <v>0</v>
      </c>
      <c r="AF39" s="5">
        <f>SUMIF('Shipments by country'!$B:$B,$A39,'Shipments by country'!$P:$P)</f>
        <v>0</v>
      </c>
      <c r="AG39" s="5">
        <f>IFERROR(__xludf.DUMMYFUNCTION("IFERROR(
  SUM(
    FILTER(
      'Shipments by country'!$H$2:$H1023                                *
      INDEX(Countries!$S$2:$S1023,
            MATCH('Shipments by country'!$B$2:$B1023, Countries!$A$2:$A1023, 0)
           ) / 1000000                "&amp;"                                 *
      'Shipments by country'!$J$2:$J1023,
      ( 'Shipments by country'!$E$2:$E1023 &lt;  NOW()           )        *
      ( 'Shipments by country'!$I$2:$I1023 &gt; 0.25             )        *
      ( 'Shipments by country'!$"&amp;"B$2:$B1023 =  $A39             )
    )
  ),
  0
)
"),0.0)</f>
        <v>0</v>
      </c>
      <c r="AH39" s="5">
        <f>SUMIF('Shipments by country'!$B:$B,$A39,'Shipments by country'!$Q:$Q)</f>
        <v>0</v>
      </c>
      <c r="AI39" s="26">
        <f>IFERROR(__xludf.DUMMYFUNCTION("IFERROR(
  SUM(
    FILTER(
      'Shipments by country'!$H$2:$H1023
        * ( INDEX(Countries!$T$2:$T1023,
                 MATCH('Shipments by country'!$B$2:$B1023, Countries!$A$2:$A1023, 0)
               ) / 1000000 )
        * 'Shipments by country"&amp;"'!$J$2:$J1023,
      ('Shipments by country'!$E$2:$E1023 &lt; NOW()) *
      ('Shipments by country'!$I$2:$I1023 &gt; 0.25) *
      ('Shipments by country'!$B$2:$B1023 = $A39)
    )
  ),
  0
)
"),0.0)</f>
        <v>0</v>
      </c>
      <c r="AJ39" s="5">
        <f>SUMIF('Shipments by country'!$B:$B,$A39,'Shipments by country'!$R:$R)</f>
        <v>0</v>
      </c>
      <c r="AK39" s="26">
        <f t="shared" si="10"/>
        <v>21195997.2</v>
      </c>
      <c r="AL39" s="27">
        <f>AK39*'Vaccine pricing'!B3</f>
        <v>63376031.63</v>
      </c>
      <c r="AM39" s="28" t="str">
        <f>IF($A39="","",
 LET(
  ctry,$A39,
  ctryCol,'Shipments by country'!$B$2:$B1023,
  vaccCol,'Shipments by country'!$C$2:$C1023,
  finCol,'Shipments by country'!$D$2:$D1023,
  doseCol,'Shipments by country'!$F$2:$F1023,
  price,IFERROR(VLOOKUP(vaccCol,'Vaccine pricing'!$A$2:$B1023,2,FALSE),0),
  totCost,SUMPRODUCT((ctryCol=ctry)*doseCol*price),
  gaviCost,SUMPRODUCT((ctryCol=ctry)*(finCol="Gavi")*doseCol*price),
  IF(totCost=0,"",gaviCost/totCost)
 ))
</f>
        <v/>
      </c>
      <c r="AN39" s="24" t="s">
        <v>77</v>
      </c>
      <c r="AO39" s="30" t="s">
        <v>78</v>
      </c>
      <c r="AP39" s="24" t="s">
        <v>77</v>
      </c>
      <c r="AQ39" s="29">
        <f>'Vaccine pricing'!$B$3*4/((S39/1000000)*'Vaccine efficacy curves'!$C$3)</f>
        <v>19051.72468</v>
      </c>
      <c r="AR39" s="29">
        <f>'Vaccine pricing'!$B$3*4/((T39/1000000)*'Vaccine efficacy curves'!$C$3)</f>
        <v>1575041.802</v>
      </c>
      <c r="AS39" s="24">
        <f t="shared" si="11"/>
        <v>1177555.4</v>
      </c>
      <c r="AT39" s="24">
        <f t="shared" si="12"/>
        <v>4710221.6</v>
      </c>
      <c r="AU39" s="30">
        <f>AT39*'Vaccine pricing'!B3</f>
        <v>14083562.58</v>
      </c>
      <c r="AV39" s="24">
        <f t="shared" si="13"/>
        <v>3042018.117</v>
      </c>
      <c r="AW39" s="25">
        <f t="shared" si="14"/>
        <v>0</v>
      </c>
      <c r="AX39" s="24">
        <f t="shared" si="15"/>
        <v>3042018.117</v>
      </c>
      <c r="AY39" s="25">
        <f t="shared" si="16"/>
        <v>1</v>
      </c>
      <c r="AZ39" s="24">
        <f t="shared" si="17"/>
        <v>12168072.47</v>
      </c>
      <c r="BA39" s="30">
        <f>AZ39*'Vaccine pricing'!B3</f>
        <v>36382536.68</v>
      </c>
      <c r="BB39" s="30" t="s">
        <v>78</v>
      </c>
    </row>
    <row r="40" ht="22.5" customHeight="1">
      <c r="A40" s="3" t="s">
        <v>116</v>
      </c>
      <c r="B40" s="20">
        <f>SUMIFS('Shipments by country'!F:F, 
        'Shipments by country'!B:B, A40, 
        'Shipments by country'!C:C, "RTS,S", 
        'Shipments by country'!G:G, "Delivered")
</f>
        <v>0</v>
      </c>
      <c r="C40" s="4">
        <f>SUMIFS('Shipments by country'!F:F, 
        'Shipments by country'!B:B, A40, 
        'Shipments by country'!C:C, "R21", 
        'Shipments by country'!G:G, "Delivered")
</f>
        <v>1763400</v>
      </c>
      <c r="D40" s="20">
        <f t="shared" si="1"/>
        <v>1763400</v>
      </c>
      <c r="E40" s="4">
        <f>SUMIFS('Shipments by country'!F:F, 
        'Shipments by country'!B:B, A40, 
        'Shipments by country'!C:C, "RTS,S")
</f>
        <v>0</v>
      </c>
      <c r="F40" s="4">
        <f>SUMIFS('Shipments by country'!F:F, 
        'Shipments by country'!B:B, A40, 
        'Shipments by country'!C:C, "R21")
</f>
        <v>3396500</v>
      </c>
      <c r="G40" s="4">
        <f t="shared" si="2"/>
        <v>3396500</v>
      </c>
      <c r="H40" s="21" t="s">
        <v>80</v>
      </c>
      <c r="I40" s="6">
        <v>0.0</v>
      </c>
      <c r="J40" s="21">
        <v>1.1483374E7</v>
      </c>
      <c r="K40" s="23">
        <v>1483636.0</v>
      </c>
      <c r="L40" s="23">
        <f t="shared" si="3"/>
        <v>1335272.4</v>
      </c>
      <c r="M40" s="24">
        <f t="shared" si="4"/>
        <v>849125</v>
      </c>
      <c r="N40" s="25">
        <f t="shared" si="5"/>
        <v>0.6359189331</v>
      </c>
      <c r="O40" s="23">
        <f t="shared" si="6"/>
        <v>486147.4</v>
      </c>
      <c r="P40" s="25">
        <f t="shared" si="7"/>
        <v>0.3640810669</v>
      </c>
      <c r="Q40" s="6">
        <v>2907170.0</v>
      </c>
      <c r="R40" s="6">
        <v>6671.0</v>
      </c>
      <c r="S40" s="24">
        <f t="shared" si="8"/>
        <v>253163.3995</v>
      </c>
      <c r="T40" s="24">
        <f t="shared" si="9"/>
        <v>580.9268252</v>
      </c>
      <c r="U40" s="5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$A40) ) ), 0 )"),140562.01193436433)</f>
        <v>140562.0119</v>
      </c>
      <c r="V40" s="5">
        <f>SUMIF('Shipments by country'!$B:$B,$A40,'Shipments by country'!$K:$K)</f>
        <v>2248.39651</v>
      </c>
      <c r="W40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$A40) ) ), 0 )"),278.8321979680511)</f>
        <v>278.832198</v>
      </c>
      <c r="X40" s="5">
        <f>SUMIF('Shipments by country'!$B:$B,$A40,'Shipments by country'!$L:$L)</f>
        <v>85326.29351</v>
      </c>
      <c r="Y40" s="6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$A40) ) ), 0 )"),140562.01193436433)</f>
        <v>140562.0119</v>
      </c>
      <c r="Z40" s="5">
        <f>SUMIF('Shipments by country'!$B:$B,$A40,'Shipments by country'!$M:$M)</f>
        <v>1360.225824</v>
      </c>
      <c r="AA40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$A40) ) ), 0 )"),278.8321979680511)</f>
        <v>278.832198</v>
      </c>
      <c r="AB40" s="5">
        <f>SUMIF('Shipments by country'!$B:$B,$A40,'Shipments by country'!$N:$N)</f>
        <v>51620.35583</v>
      </c>
      <c r="AC40" s="5">
        <f>IFERROR(__xludf.DUMMYFUNCTION("IFERROR( SUM( FILTER( 'Shipments by country'!$H$2:$H1023 * ( INDEX(Countries!$S$2:$S1023, MATCH('Shipments by country'!$B$2:$B1023, Countries!$A$2:$A1023, 0) ) / 1000000 ) * 'Shipments by country'!$J$2:$J1023, ('Shipments by country'!$E$2:$E1023 &lt; NOW()) "&amp;"* ('Shipments by country'!$I$2:$I1023 &gt; 0) * ('Shipments by country'!$B$2:$B1023 = $A40) ) ), 0 )"),185734.73876656254)</f>
        <v>185734.7388</v>
      </c>
      <c r="AD40" s="5">
        <f>SUMIF('Shipments by country'!$B:$B,$A40,'Shipments by country'!$O:$O)</f>
        <v>2208.797705</v>
      </c>
      <c r="AE40" s="5">
        <f>IFERROR(__xludf.DUMMYFUNCTION("IFERROR( SUM( FILTER( 'Shipments by country'!$H$2:$H1023 * ( INDEX(Countries!$T$2:$T1023, MATCH('Shipments by country'!$B$2:$B1023, Countries!$A$2:$A1023, 0) ) / 1000000 ) * 'Shipments by country'!$J$2:$J1023, ('Shipments by country'!$E$2:$E1023 &lt; NOW()) "&amp;"* ('Shipments by country'!$I$2:$I1023 &gt; 0) * ('Shipments by country'!$B$2:$B1023 = $A40) ) ), 0 )"),368.4411224384388)</f>
        <v>368.4411224</v>
      </c>
      <c r="AF40" s="5">
        <f>SUMIF('Shipments by country'!$B:$B,$A40,'Shipments by country'!$P:$P)</f>
        <v>83823.52509</v>
      </c>
      <c r="AG40" s="5">
        <f>IFERROR(__xludf.DUMMYFUNCTION("IFERROR(
  SUM(
    FILTER(
      'Shipments by country'!$H$2:$H1023                                *
      INDEX(Countries!$S$2:$S1023,
            MATCH('Shipments by country'!$B$2:$B1023, Countries!$A$2:$A1023, 0)
           ) / 1000000                "&amp;"                                 *
      'Shipments by country'!$J$2:$J1023,
      ( 'Shipments by country'!$E$2:$E1023 &lt;  NOW()           )        *
      ( 'Shipments by country'!$I$2:$I1023 &gt; 0.25             )        *
      ( 'Shipments by country'!$"&amp;"B$2:$B1023 =  $A40             )
    )
  ),
  0
)
"),185734.7387665626)</f>
        <v>185734.7388</v>
      </c>
      <c r="AH40" s="5">
        <f>SUMIF('Shipments by country'!$B:$B,$A40,'Shipments by country'!$Q:$Q)</f>
        <v>32885.33225</v>
      </c>
      <c r="AI40" s="26">
        <f>IFERROR(__xludf.DUMMYFUNCTION("IFERROR(
  SUM(
    FILTER(
      'Shipments by country'!$H$2:$H1023
        * ( INDEX(Countries!$T$2:$T1023,
                 MATCH('Shipments by country'!$B$2:$B1023, Countries!$A$2:$A1023, 0)
               ) / 1000000 )
        * 'Shipments by country"&amp;"'!$J$2:$J1023,
      ('Shipments by country'!$E$2:$E1023 &lt; NOW()) *
      ('Shipments by country'!$I$2:$I1023 &gt; 0.25) *
      ('Shipments by country'!$B$2:$B1023 = $A40)
    )
  ),
  0
)
"),368.4411224384388)</f>
        <v>368.4411224</v>
      </c>
      <c r="AJ40" s="5">
        <f>SUMIF('Shipments by country'!$B:$B,$A40,'Shipments by country'!$R:$R)</f>
        <v>75.46103304</v>
      </c>
      <c r="AK40" s="26">
        <f t="shared" si="10"/>
        <v>1944589.6</v>
      </c>
      <c r="AL40" s="27">
        <f>AK40*'Vaccine pricing'!B3</f>
        <v>5814322.904</v>
      </c>
      <c r="AM40" s="28">
        <f>IF($A40="","",
 LET(
  ctry,$A40,
  ctryCol,'Shipments by country'!$B$2:$B1023,
  vaccCol,'Shipments by country'!$C$2:$C1023,
  finCol,'Shipments by country'!$D$2:$D1023,
  doseCol,'Shipments by country'!$F$2:$F1023,
  price,IFERROR(VLOOKUP(vaccCol,'Vaccine pricing'!$A$2:$B1023,2,FALSE),0),
  totCost,SUMPRODUCT((ctryCol=ctry)*doseCol*price),
  gaviCost,SUMPRODUCT((ctryCol=ctry)*(finCol="Gavi")*doseCol*price),
  IF(totCost=0,"",gaviCost/totCost)
 ))
</f>
        <v>0.9770057412</v>
      </c>
      <c r="AN40" s="24">
        <v>10.0</v>
      </c>
      <c r="AO40" s="27">
        <v>388917.92000000016</v>
      </c>
      <c r="AP40" s="24" t="s">
        <v>77</v>
      </c>
      <c r="AQ40" s="29">
        <f>'Vaccine pricing'!$B$3*4/((S40/1000000)*'Vaccine efficacy curves'!$C$3)</f>
        <v>62.98962131</v>
      </c>
      <c r="AR40" s="29">
        <f>'Vaccine pricing'!$B$3*4/((T40/1000000)*'Vaccine efficacy curves'!$C$3)</f>
        <v>27450.38786</v>
      </c>
      <c r="AS40" s="24">
        <f t="shared" si="11"/>
        <v>296727.2</v>
      </c>
      <c r="AT40" s="24">
        <f t="shared" si="12"/>
        <v>1186908.8</v>
      </c>
      <c r="AU40" s="30">
        <f>AT40*'Vaccine pricing'!B3</f>
        <v>3548857.312</v>
      </c>
      <c r="AV40" s="24">
        <f t="shared" si="13"/>
        <v>766545.2667</v>
      </c>
      <c r="AW40" s="25">
        <f t="shared" si="14"/>
        <v>1.107729754</v>
      </c>
      <c r="AX40" s="24">
        <f t="shared" si="15"/>
        <v>-82579.73333</v>
      </c>
      <c r="AY40" s="25">
        <f t="shared" si="16"/>
        <v>-0.1077297544</v>
      </c>
      <c r="AZ40" s="24">
        <f t="shared" si="17"/>
        <v>-330318.9333</v>
      </c>
      <c r="BA40" s="30">
        <f>AZ40*'Vaccine pricing'!B3</f>
        <v>-987653.6107</v>
      </c>
      <c r="BB40" s="30">
        <v>-66063.78666666662</v>
      </c>
    </row>
    <row r="41" ht="22.5" customHeight="1">
      <c r="A41" s="3" t="s">
        <v>117</v>
      </c>
      <c r="B41" s="20">
        <f>SUMIFS('Shipments by country'!F:F, 
        'Shipments by country'!B:B, A41, 
        'Shipments by country'!C:C, "RTS,S", 
        'Shipments by country'!G:G, "Delivered")
</f>
        <v>0</v>
      </c>
      <c r="C41" s="4">
        <f>SUMIFS('Shipments by country'!F:F, 
        'Shipments by country'!B:B, A41, 
        'Shipments by country'!C:C, "R21", 
        'Shipments by country'!G:G, "Delivered")
</f>
        <v>881000</v>
      </c>
      <c r="D41" s="20">
        <f t="shared" si="1"/>
        <v>881000</v>
      </c>
      <c r="E41" s="4">
        <f>SUMIFS('Shipments by country'!F:F, 
        'Shipments by country'!B:B, A41, 
        'Shipments by country'!C:C, "RTS,S")
</f>
        <v>0</v>
      </c>
      <c r="F41" s="4">
        <f>SUMIFS('Shipments by country'!F:F, 
        'Shipments by country'!B:B, A41, 
        'Shipments by country'!C:C, "R21")
</f>
        <v>1530600</v>
      </c>
      <c r="G41" s="4">
        <f t="shared" si="2"/>
        <v>1530600</v>
      </c>
      <c r="H41" s="21" t="s">
        <v>80</v>
      </c>
      <c r="I41" s="6">
        <v>0.0</v>
      </c>
      <c r="J41" s="21">
        <v>5.004279E7</v>
      </c>
      <c r="K41" s="23">
        <v>7645813.0</v>
      </c>
      <c r="L41" s="23">
        <f t="shared" si="3"/>
        <v>6881231.7</v>
      </c>
      <c r="M41" s="24">
        <f t="shared" si="4"/>
        <v>382650</v>
      </c>
      <c r="N41" s="25">
        <f t="shared" si="5"/>
        <v>0.05560777731</v>
      </c>
      <c r="O41" s="23">
        <f t="shared" si="6"/>
        <v>6498581.7</v>
      </c>
      <c r="P41" s="25">
        <f t="shared" si="7"/>
        <v>0.9443922227</v>
      </c>
      <c r="Q41" s="6">
        <v>3406260.0</v>
      </c>
      <c r="R41" s="6">
        <v>7974.0</v>
      </c>
      <c r="S41" s="24">
        <f t="shared" si="8"/>
        <v>68066.94831</v>
      </c>
      <c r="T41" s="24">
        <f t="shared" si="9"/>
        <v>159.3436337</v>
      </c>
      <c r="U41" s="5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$A41) ) ), 0 )"),72876.67456766711)</f>
        <v>72876.67457</v>
      </c>
      <c r="V41" s="5">
        <f>SUMIF('Shipments by country'!$B:$B,$A41,'Shipments by country'!$K:$K)</f>
        <v>934.611725</v>
      </c>
      <c r="W41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$A41) ) ), 0 )"),144.56511450471857)</f>
        <v>144.5651145</v>
      </c>
      <c r="X41" s="5">
        <f>SUMIF('Shipments by country'!$B:$B,$A41,'Shipments by country'!$L:$L)</f>
        <v>7977.949332</v>
      </c>
      <c r="Y41" s="6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$A41) ) ), 0 )"),43599.314337983655)</f>
        <v>43599.31434</v>
      </c>
      <c r="Z41" s="5">
        <f>SUMIF('Shipments by country'!$B:$B,$A41,'Shipments by country'!$M:$M)</f>
        <v>497.6189503</v>
      </c>
      <c r="AA41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$A41) ) ), 0 )"),86.48775355062953)</f>
        <v>86.48775355</v>
      </c>
      <c r="AB41" s="5">
        <f>SUMIF('Shipments by country'!$B:$B,$A41,'Shipments by country'!$N:$N)</f>
        <v>4247.730545</v>
      </c>
      <c r="AC41" s="5">
        <f>IFERROR(__xludf.DUMMYFUNCTION("IFERROR( SUM( FILTER( 'Shipments by country'!$H$2:$H1023 * ( INDEX(Countries!$S$2:$S1023, MATCH('Shipments by country'!$B$2:$B1023, Countries!$A$2:$A1023, 0) ) / 1000000 ) * 'Shipments by country'!$J$2:$J1023, ('Shipments by country'!$E$2:$E1023 &lt; NOW()) "&amp;"* ('Shipments by country'!$I$2:$I1023 &gt; 0) * ('Shipments by country'!$B$2:$B1023 = $A41) ) ), 0 )"),97414.52953343232)</f>
        <v>97414.52953</v>
      </c>
      <c r="AD41" s="5">
        <f>SUMIF('Shipments by country'!$B:$B,$A41,'Shipments by country'!$O:$O)</f>
        <v>931.0746384</v>
      </c>
      <c r="AE41" s="5">
        <f>IFERROR(__xludf.DUMMYFUNCTION("IFERROR( SUM( FILTER( 'Shipments by country'!$H$2:$H1023 * ( INDEX(Countries!$T$2:$T1023, MATCH('Shipments by country'!$B$2:$B1023, Countries!$A$2:$A1023, 0) ) / 1000000 ) * 'Shipments by country'!$J$2:$J1023, ('Shipments by country'!$E$2:$E1023 &lt; NOW()) "&amp;"* ('Shipments by country'!$I$2:$I1023 &gt; 0) * ('Shipments by country'!$B$2:$B1023 = $A41) ) ), 0 )"),193.24074129298927)</f>
        <v>193.2407413</v>
      </c>
      <c r="AF41" s="5">
        <f>SUMIF('Shipments by country'!$B:$B,$A41,'Shipments by country'!$P:$P)</f>
        <v>7947.756368</v>
      </c>
      <c r="AG41" s="5">
        <f>IFERROR(__xludf.DUMMYFUNCTION("IFERROR(
  SUM(
    FILTER(
      'Shipments by country'!$H$2:$H1023                                *
      INDEX(Countries!$S$2:$S1023,
            MATCH('Shipments by country'!$B$2:$B1023, Countries!$A$2:$A1023, 0)
           ) / 1000000                "&amp;"                                 *
      'Shipments by country'!$J$2:$J1023,
      ( 'Shipments by country'!$E$2:$E1023 &lt;  NOW()           )        *
      ( 'Shipments by country'!$I$2:$I1023 &gt; 0.25             )        *
      ( 'Shipments by country'!$"&amp;"B$2:$B1023 =  $A41             )
    )
  ),
  0
)
"),58203.77922582056)</f>
        <v>58203.77923</v>
      </c>
      <c r="AH41" s="5">
        <f>SUMIF('Shipments by country'!$B:$B,$A41,'Shipments by country'!$Q:$Q)</f>
        <v>3700.025823</v>
      </c>
      <c r="AI41" s="26">
        <f>IFERROR(__xludf.DUMMYFUNCTION("IFERROR(
  SUM(
    FILTER(
      'Shipments by country'!$H$2:$H1023
        * ( INDEX(Countries!$T$2:$T1023,
                 MATCH('Shipments by country'!$B$2:$B1023, Countries!$A$2:$A1023, 0)
               ) / 1000000 )
        * 'Shipments by country"&amp;"'!$J$2:$J1023,
      ('Shipments by country'!$E$2:$E1023 &lt; NOW()) *
      ('Shipments by country'!$I$2:$I1023 &gt; 0.25) *
      ('Shipments by country'!$B$2:$B1023 = $A41)
    )
  ),
  0
)
"),115.4585614437629)</f>
        <v>115.4585614</v>
      </c>
      <c r="AJ41" s="5">
        <f>SUMIF('Shipments by country'!$B:$B,$A41,'Shipments by country'!$R:$R)</f>
        <v>8.661701079</v>
      </c>
      <c r="AK41" s="26">
        <f t="shared" si="10"/>
        <v>25994326.8</v>
      </c>
      <c r="AL41" s="27">
        <f>AK41*'Vaccine pricing'!B3</f>
        <v>77723037.13</v>
      </c>
      <c r="AM41" s="28">
        <f>IF($A41="","",
 LET(
  ctry,$A41,
  ctryCol,'Shipments by country'!$B$2:$B1023,
  vaccCol,'Shipments by country'!$C$2:$C1023,
  finCol,'Shipments by country'!$D$2:$D1023,
  doseCol,'Shipments by country'!$F$2:$F1023,
  price,IFERROR(VLOOKUP(vaccCol,'Vaccine pricing'!$A$2:$B1023,2,FALSE),0),
  totCost,SUMPRODUCT((ctryCol=ctry)*doseCol*price),
  gaviCost,SUMPRODUCT((ctryCol=ctry)*(finCol="Gavi")*doseCol*price),
  IF(totCost=0,"",gaviCost/totCost)
 ))
</f>
        <v>0.9621063635</v>
      </c>
      <c r="AN41" s="24">
        <v>4.0</v>
      </c>
      <c r="AO41" s="27">
        <v>5198865.36</v>
      </c>
      <c r="AP41" s="24">
        <v>807.0</v>
      </c>
      <c r="AQ41" s="29">
        <f>'Vaccine pricing'!$B$3*4/((S41/1000000)*'Vaccine efficacy curves'!$C$3)</f>
        <v>234.2791482</v>
      </c>
      <c r="AR41" s="29">
        <f>'Vaccine pricing'!$B$3*4/((T41/1000000)*'Vaccine efficacy curves'!$C$3)</f>
        <v>100077.2123</v>
      </c>
      <c r="AS41" s="24">
        <f t="shared" si="11"/>
        <v>1529162.6</v>
      </c>
      <c r="AT41" s="24">
        <f t="shared" si="12"/>
        <v>6116650.4</v>
      </c>
      <c r="AU41" s="30">
        <f>AT41*'Vaccine pricing'!B3</f>
        <v>18288784.7</v>
      </c>
      <c r="AV41" s="24">
        <f t="shared" si="13"/>
        <v>3950336.717</v>
      </c>
      <c r="AW41" s="25">
        <f t="shared" si="14"/>
        <v>0.09686516048</v>
      </c>
      <c r="AX41" s="24">
        <f t="shared" si="15"/>
        <v>3567686.717</v>
      </c>
      <c r="AY41" s="25">
        <f t="shared" si="16"/>
        <v>0.9031348395</v>
      </c>
      <c r="AZ41" s="24">
        <f t="shared" si="17"/>
        <v>14270746.87</v>
      </c>
      <c r="BA41" s="30">
        <f>AZ41*'Vaccine pricing'!B3</f>
        <v>42669533.13</v>
      </c>
      <c r="BB41" s="30">
        <v>2854149.3733333335</v>
      </c>
    </row>
    <row r="42" ht="22.5" customHeight="1">
      <c r="A42" s="3" t="s">
        <v>118</v>
      </c>
      <c r="B42" s="20">
        <f>SUMIFS('Shipments by country'!F:F, 
        'Shipments by country'!B:B, A42, 
        'Shipments by country'!C:C, "RTS,S", 
        'Shipments by country'!G:G, "Delivered")
</f>
        <v>0</v>
      </c>
      <c r="C42" s="4">
        <f>SUMIFS('Shipments by country'!F:F, 
        'Shipments by country'!B:B, A42, 
        'Shipments by country'!C:C, "R21", 
        'Shipments by country'!G:G, "Delivered")
</f>
        <v>0</v>
      </c>
      <c r="D42" s="20">
        <f t="shared" si="1"/>
        <v>0</v>
      </c>
      <c r="E42" s="4">
        <f>SUMIFS('Shipments by country'!F:F, 
        'Shipments by country'!B:B, A42, 
        'Shipments by country'!C:C, "RTS,S")
</f>
        <v>0</v>
      </c>
      <c r="F42" s="4">
        <f>SUMIFS('Shipments by country'!F:F, 
        'Shipments by country'!B:B, A42, 
        'Shipments by country'!C:C, "R21")
</f>
        <v>0</v>
      </c>
      <c r="G42" s="4">
        <f t="shared" si="2"/>
        <v>0</v>
      </c>
      <c r="H42" s="21" t="s">
        <v>74</v>
      </c>
      <c r="I42" s="6">
        <v>4.4E7</v>
      </c>
      <c r="J42" s="21">
        <v>6.6617606E7</v>
      </c>
      <c r="K42" s="23">
        <v>1.08104E7</v>
      </c>
      <c r="L42" s="23">
        <f t="shared" si="3"/>
        <v>9729360</v>
      </c>
      <c r="M42" s="24">
        <f t="shared" si="4"/>
        <v>0</v>
      </c>
      <c r="N42" s="25">
        <f t="shared" si="5"/>
        <v>0</v>
      </c>
      <c r="O42" s="23">
        <f t="shared" si="6"/>
        <v>9729360</v>
      </c>
      <c r="P42" s="25">
        <f t="shared" si="7"/>
        <v>1</v>
      </c>
      <c r="Q42" s="6">
        <v>8554792.0</v>
      </c>
      <c r="R42" s="6">
        <v>25540.0</v>
      </c>
      <c r="S42" s="24">
        <f t="shared" si="8"/>
        <v>128416.3829</v>
      </c>
      <c r="T42" s="24">
        <f t="shared" si="9"/>
        <v>383.3821347</v>
      </c>
      <c r="U42" s="5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$A42) ) ), 0 )"),0.0)</f>
        <v>0</v>
      </c>
      <c r="V42" s="5">
        <f>SUMIF('Shipments by country'!$B:$B,$A42,'Shipments by country'!$K:$K)</f>
        <v>0</v>
      </c>
      <c r="W42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$A42) ) ), 0 )"),0.0)</f>
        <v>0</v>
      </c>
      <c r="X42" s="5">
        <f>SUMIF('Shipments by country'!$B:$B,$A42,'Shipments by country'!$L:$L)</f>
        <v>0</v>
      </c>
      <c r="Y42" s="6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$A42) ) ), 0 )"),0.0)</f>
        <v>0</v>
      </c>
      <c r="Z42" s="5">
        <f>SUMIF('Shipments by country'!$B:$B,$A42,'Shipments by country'!$M:$M)</f>
        <v>0</v>
      </c>
      <c r="AA42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$A42) ) ), 0 )"),0.0)</f>
        <v>0</v>
      </c>
      <c r="AB42" s="5">
        <f>SUMIF('Shipments by country'!$B:$B,$A42,'Shipments by country'!$N:$N)</f>
        <v>0</v>
      </c>
      <c r="AC42" s="5">
        <f>IFERROR(__xludf.DUMMYFUNCTION("IFERROR( SUM( FILTER( 'Shipments by country'!$H$2:$H1023 * ( INDEX(Countries!$S$2:$S1023, MATCH('Shipments by country'!$B$2:$B1023, Countries!$A$2:$A1023, 0) ) / 1000000 ) * 'Shipments by country'!$J$2:$J1023, ('Shipments by country'!$E$2:$E1023 &lt; NOW()) "&amp;"* ('Shipments by country'!$I$2:$I1023 &gt; 0) * ('Shipments by country'!$B$2:$B1023 = $A42) ) ), 0 )"),0.0)</f>
        <v>0</v>
      </c>
      <c r="AD42" s="5">
        <f>SUMIF('Shipments by country'!$B:$B,$A42,'Shipments by country'!$O:$O)</f>
        <v>0</v>
      </c>
      <c r="AE42" s="5">
        <f>IFERROR(__xludf.DUMMYFUNCTION("IFERROR( SUM( FILTER( 'Shipments by country'!$H$2:$H1023 * ( INDEX(Countries!$T$2:$T1023, MATCH('Shipments by country'!$B$2:$B1023, Countries!$A$2:$A1023, 0) ) / 1000000 ) * 'Shipments by country'!$J$2:$J1023, ('Shipments by country'!$E$2:$E1023 &lt; NOW()) "&amp;"* ('Shipments by country'!$I$2:$I1023 &gt; 0) * ('Shipments by country'!$B$2:$B1023 = $A42) ) ), 0 )"),0.0)</f>
        <v>0</v>
      </c>
      <c r="AF42" s="5">
        <f>SUMIF('Shipments by country'!$B:$B,$A42,'Shipments by country'!$P:$P)</f>
        <v>0</v>
      </c>
      <c r="AG42" s="5">
        <f>IFERROR(__xludf.DUMMYFUNCTION("IFERROR(
  SUM(
    FILTER(
      'Shipments by country'!$H$2:$H1023                                *
      INDEX(Countries!$S$2:$S1023,
            MATCH('Shipments by country'!$B$2:$B1023, Countries!$A$2:$A1023, 0)
           ) / 1000000                "&amp;"                                 *
      'Shipments by country'!$J$2:$J1023,
      ( 'Shipments by country'!$E$2:$E1023 &lt;  NOW()           )        *
      ( 'Shipments by country'!$I$2:$I1023 &gt; 0.25             )        *
      ( 'Shipments by country'!$"&amp;"B$2:$B1023 =  $A42             )
    )
  ),
  0
)
"),0.0)</f>
        <v>0</v>
      </c>
      <c r="AH42" s="5">
        <f>SUMIF('Shipments by country'!$B:$B,$A42,'Shipments by country'!$Q:$Q)</f>
        <v>0</v>
      </c>
      <c r="AI42" s="26">
        <f>IFERROR(__xludf.DUMMYFUNCTION("IFERROR(
  SUM(
    FILTER(
      'Shipments by country'!$H$2:$H1023
        * ( INDEX(Countries!$T$2:$T1023,
                 MATCH('Shipments by country'!$B$2:$B1023, Countries!$A$2:$A1023, 0)
               ) / 1000000 )
        * 'Shipments by country"&amp;"'!$J$2:$J1023,
      ('Shipments by country'!$E$2:$E1023 &lt; NOW()) *
      ('Shipments by country'!$I$2:$I1023 &gt; 0.25) *
      ('Shipments by country'!$B$2:$B1023 = $A42)
    )
  ),
  0
)
"),0.0)</f>
        <v>0</v>
      </c>
      <c r="AJ42" s="5">
        <f>SUMIF('Shipments by country'!$B:$B,$A42,'Shipments by country'!$R:$R)</f>
        <v>0</v>
      </c>
      <c r="AK42" s="26">
        <f t="shared" si="10"/>
        <v>38917440</v>
      </c>
      <c r="AL42" s="27">
        <f>AK42*'Vaccine pricing'!B3</f>
        <v>116363145.6</v>
      </c>
      <c r="AM42" s="28" t="str">
        <f>IF($A42="","",
 LET(
  ctry,$A42,
  ctryCol,'Shipments by country'!$B$2:$B1023,
  vaccCol,'Shipments by country'!$C$2:$C1023,
  finCol,'Shipments by country'!$D$2:$D1023,
  doseCol,'Shipments by country'!$F$2:$F1023,
  price,IFERROR(VLOOKUP(vaccCol,'Vaccine pricing'!$A$2:$B1023,2,FALSE),0),
  totCost,SUMPRODUCT((ctryCol=ctry)*doseCol*price),
  gaviCost,SUMPRODUCT((ctryCol=ctry)*(finCol="Gavi")*doseCol*price),
  IF(totCost=0,"",gaviCost/totCost)
 ))
</f>
        <v/>
      </c>
      <c r="AN42" s="24">
        <v>4.0</v>
      </c>
      <c r="AO42" s="27">
        <v>1.1837712311999999E7</v>
      </c>
      <c r="AP42" s="24">
        <v>1183.0</v>
      </c>
      <c r="AQ42" s="29">
        <f>'Vaccine pricing'!$B$3*4/((S42/1000000)*'Vaccine efficacy curves'!$C$3)</f>
        <v>124.1793789</v>
      </c>
      <c r="AR42" s="29">
        <f>'Vaccine pricing'!$B$3*4/((T42/1000000)*'Vaccine efficacy curves'!$C$3)</f>
        <v>41594.70466</v>
      </c>
      <c r="AS42" s="24">
        <f t="shared" si="11"/>
        <v>2162080</v>
      </c>
      <c r="AT42" s="24">
        <f t="shared" si="12"/>
        <v>8648320</v>
      </c>
      <c r="AU42" s="30">
        <f>AT42*'Vaccine pricing'!B3</f>
        <v>25858476.8</v>
      </c>
      <c r="AV42" s="24">
        <f t="shared" si="13"/>
        <v>5585373.333</v>
      </c>
      <c r="AW42" s="25">
        <f t="shared" si="14"/>
        <v>0</v>
      </c>
      <c r="AX42" s="24">
        <f t="shared" si="15"/>
        <v>5585373.333</v>
      </c>
      <c r="AY42" s="25">
        <f t="shared" si="16"/>
        <v>1</v>
      </c>
      <c r="AZ42" s="24">
        <f t="shared" si="17"/>
        <v>22341493.33</v>
      </c>
      <c r="BA42" s="30">
        <f>AZ42*'Vaccine pricing'!B3</f>
        <v>66801065.07</v>
      </c>
      <c r="BB42" s="30">
        <v>6795723.734666666</v>
      </c>
    </row>
    <row r="43" ht="22.5" customHeight="1">
      <c r="A43" s="3" t="s">
        <v>119</v>
      </c>
      <c r="B43" s="20">
        <f>SUMIFS('Shipments by country'!F:F, 
        'Shipments by country'!B:B, A43, 
        'Shipments by country'!C:C, "RTS,S", 
        'Shipments by country'!G:G, "Delivered")
</f>
        <v>0</v>
      </c>
      <c r="C43" s="4">
        <f>SUMIFS('Shipments by country'!F:F, 
        'Shipments by country'!B:B, A43, 
        'Shipments by country'!C:C, "R21", 
        'Shipments by country'!G:G, "Delivered")
</f>
        <v>325800</v>
      </c>
      <c r="D43" s="20">
        <f t="shared" si="1"/>
        <v>325800</v>
      </c>
      <c r="E43" s="4">
        <f>SUMIFS('Shipments by country'!F:F, 
        'Shipments by country'!B:B, A43, 
        'Shipments by country'!C:C, "RTS,S")
</f>
        <v>0</v>
      </c>
      <c r="F43" s="4">
        <f>SUMIFS('Shipments by country'!F:F, 
        'Shipments by country'!B:B, A43, 
        'Shipments by country'!C:C, "R21")
</f>
        <v>342600</v>
      </c>
      <c r="G43" s="4">
        <f t="shared" si="2"/>
        <v>342600</v>
      </c>
      <c r="H43" s="21" t="s">
        <v>80</v>
      </c>
      <c r="I43" s="6">
        <v>1.2E7</v>
      </c>
      <c r="J43" s="21">
        <v>9304337.0</v>
      </c>
      <c r="K43" s="23">
        <v>1342219.0</v>
      </c>
      <c r="L43" s="23">
        <f t="shared" si="3"/>
        <v>1207997.1</v>
      </c>
      <c r="M43" s="24">
        <f t="shared" si="4"/>
        <v>85650</v>
      </c>
      <c r="N43" s="25">
        <f t="shared" si="5"/>
        <v>0.07090248809</v>
      </c>
      <c r="O43" s="23">
        <f t="shared" si="6"/>
        <v>1122347.1</v>
      </c>
      <c r="P43" s="25">
        <f t="shared" si="7"/>
        <v>0.9290975119</v>
      </c>
      <c r="Q43" s="6">
        <v>2143070.0</v>
      </c>
      <c r="R43" s="6">
        <v>3456.0</v>
      </c>
      <c r="S43" s="24">
        <f t="shared" si="8"/>
        <v>230330.2213</v>
      </c>
      <c r="T43" s="24">
        <f t="shared" si="9"/>
        <v>371.4396845</v>
      </c>
      <c r="U43" s="5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$A43) ) ), 0 )"),16954.739037676733)</f>
        <v>16954.73904</v>
      </c>
      <c r="V43" s="5">
        <f>SUMIF('Shipments by country'!$B:$B,$A43,'Shipments by country'!$K:$K)</f>
        <v>87.14261568</v>
      </c>
      <c r="W43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$A43) ) ), 0 )"),33.633035603230056)</f>
        <v>33.6330356</v>
      </c>
      <c r="X43" s="5">
        <f>SUMIF('Shipments by country'!$B:$B,$A43,'Shipments by country'!$L:$L)</f>
        <v>5807.74825</v>
      </c>
      <c r="Y43" s="6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$A43) ) ), 0 )"),16123.333270505193)</f>
        <v>16123.33327</v>
      </c>
      <c r="Z43" s="5">
        <f>SUMIF('Shipments by country'!$B:$B,$A43,'Shipments by country'!$M:$M)</f>
        <v>33.03757584</v>
      </c>
      <c r="AA43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$A43) ) ), 0 )"),31.98377991690704)</f>
        <v>31.98377992</v>
      </c>
      <c r="AB43" s="5">
        <f>SUMIF('Shipments by country'!$B:$B,$A43,'Shipments by country'!$N:$N)</f>
        <v>2201.838008</v>
      </c>
      <c r="AC43" s="5">
        <f>IFERROR(__xludf.DUMMYFUNCTION("IFERROR( SUM( FILTER( 'Shipments by country'!$H$2:$H1023 * ( INDEX(Countries!$S$2:$S1023, MATCH('Shipments by country'!$B$2:$B1023, Countries!$A$2:$A1023, 0) ) / 1000000 ) * 'Shipments by country'!$J$2:$J1023, ('Shipments by country'!$E$2:$E1023 &lt; NOW()) "&amp;"* ('Shipments by country'!$I$2:$I1023 &gt; 0) * ('Shipments by country'!$B$2:$B1023 = $A43) ) ), 0 )"),22707.239782602763)</f>
        <v>22707.23978</v>
      </c>
      <c r="AD43" s="5">
        <f>SUMIF('Shipments by country'!$B:$B,$A43,'Shipments by country'!$O:$O)</f>
        <v>87.14261568</v>
      </c>
      <c r="AE43" s="5">
        <f>IFERROR(__xludf.DUMMYFUNCTION("IFERROR( SUM( FILTER( 'Shipments by country'!$H$2:$H1023 * ( INDEX(Countries!$T$2:$T1023, MATCH('Shipments by country'!$B$2:$B1023, Countries!$A$2:$A1023, 0) ) / 1000000 ) * 'Shipments by country'!$J$2:$J1023, ('Shipments by country'!$E$2:$E1023 &lt; NOW()) "&amp;"* ('Shipments by country'!$I$2:$I1023 &gt; 0) * ('Shipments by country'!$B$2:$B1023 = $A43) ) ), 0 )"),45.044244111468814)</f>
        <v>45.04424411</v>
      </c>
      <c r="AF43" s="5">
        <f>SUMIF('Shipments by country'!$B:$B,$A43,'Shipments by country'!$P:$P)</f>
        <v>5807.74825</v>
      </c>
      <c r="AG43" s="5">
        <f>IFERROR(__xludf.DUMMYFUNCTION("IFERROR(
  SUM(
    FILTER(
      'Shipments by country'!$H$2:$H1023                                *
      INDEX(Countries!$S$2:$S1023,
            MATCH('Shipments by country'!$B$2:$B1023, Countries!$A$2:$A1023, 0)
           ) / 1000000                "&amp;"                                 *
      'Shipments by country'!$J$2:$J1023,
      ( 'Shipments by country'!$E$2:$E1023 &lt;  NOW()           )        *
      ( 'Shipments by country'!$I$2:$I1023 &gt; 0.25             )        *
      ( 'Shipments by country'!$"&amp;"B$2:$B1023 =  $A43             )
    )
  ),
  0
)
"),21593.74991585517)</f>
        <v>21593.74992</v>
      </c>
      <c r="AH43" s="5">
        <f>SUMIF('Shipments by country'!$B:$B,$A43,'Shipments by country'!$Q:$Q)</f>
        <v>3605.910242</v>
      </c>
      <c r="AI43" s="26">
        <f>IFERROR(__xludf.DUMMYFUNCTION("IFERROR(
  SUM(
    FILTER(
      'Shipments by country'!$H$2:$H1023
        * ( INDEX(Countries!$T$2:$T1023,
                 MATCH('Shipments by country'!$B$2:$B1023, Countries!$A$2:$A1023, 0)
               ) / 1000000 )
        * 'Shipments by country"&amp;"'!$J$2:$J1023,
      ('Shipments by country'!$E$2:$E1023 &lt; NOW()) *
      ('Shipments by country'!$I$2:$I1023 &gt; 0.25) *
      ('Shipments by country'!$B$2:$B1023 = $A43)
    )
  ),
  0
)
"),42.83541953157192)</f>
        <v>42.83541953</v>
      </c>
      <c r="AJ43" s="5">
        <f>SUMIF('Shipments by country'!$B:$B,$A43,'Shipments by country'!$R:$R)</f>
        <v>5.815034412</v>
      </c>
      <c r="AK43" s="26">
        <f t="shared" si="10"/>
        <v>4489388.4</v>
      </c>
      <c r="AL43" s="27">
        <f>AK43*'Vaccine pricing'!B3</f>
        <v>13423271.32</v>
      </c>
      <c r="AM43" s="28">
        <f>IF($A43="","",
 LET(
  ctry,$A43,
  ctryCol,'Shipments by country'!$B$2:$B1023,
  vaccCol,'Shipments by country'!$C$2:$C1023,
  finCol,'Shipments by country'!$D$2:$D1023,
  doseCol,'Shipments by country'!$F$2:$F1023,
  price,IFERROR(VLOOKUP(vaccCol,'Vaccine pricing'!$A$2:$B1023,2,FALSE),0),
  totCost,SUMPRODUCT((ctryCol=ctry)*doseCol*price),
  gaviCost,SUMPRODUCT((ctryCol=ctry)*(finCol="Gavi")*doseCol*price),
  IF(totCost=0,"",gaviCost/totCost)
 ))
</f>
        <v>0.9509632224</v>
      </c>
      <c r="AN43" s="24">
        <v>11.0</v>
      </c>
      <c r="AO43" s="27">
        <v>897877.6800000002</v>
      </c>
      <c r="AP43" s="24">
        <v>1000.0</v>
      </c>
      <c r="AQ43" s="29">
        <f>'Vaccine pricing'!$B$3*4/((S43/1000000)*'Vaccine efficacy curves'!$C$3)</f>
        <v>69.23393109</v>
      </c>
      <c r="AR43" s="29">
        <f>'Vaccine pricing'!$B$3*4/((T43/1000000)*'Vaccine efficacy curves'!$C$3)</f>
        <v>42932.04881</v>
      </c>
      <c r="AS43" s="24">
        <f t="shared" si="11"/>
        <v>268443.8</v>
      </c>
      <c r="AT43" s="24">
        <f t="shared" si="12"/>
        <v>1073775.2</v>
      </c>
      <c r="AU43" s="30">
        <f>AT43*'Vaccine pricing'!B3</f>
        <v>3210587.848</v>
      </c>
      <c r="AV43" s="24">
        <f t="shared" si="13"/>
        <v>693479.8167</v>
      </c>
      <c r="AW43" s="25">
        <f t="shared" si="14"/>
        <v>0.1235075599</v>
      </c>
      <c r="AX43" s="24">
        <f t="shared" si="15"/>
        <v>607829.8167</v>
      </c>
      <c r="AY43" s="25">
        <f t="shared" si="16"/>
        <v>0.8764924401</v>
      </c>
      <c r="AZ43" s="24">
        <f t="shared" si="17"/>
        <v>2431319.267</v>
      </c>
      <c r="BA43" s="30">
        <f>AZ43*'Vaccine pricing'!B3</f>
        <v>7269644.607</v>
      </c>
      <c r="BB43" s="30">
        <v>486263.85333333333</v>
      </c>
    </row>
    <row r="44" ht="22.5" customHeight="1">
      <c r="A44" s="3" t="s">
        <v>120</v>
      </c>
      <c r="B44" s="20">
        <f>SUMIFS('Shipments by country'!F:F, 
        'Shipments by country'!B:B, A44, 
        'Shipments by country'!C:C, "RTS,S", 
        'Shipments by country'!G:G, "Delivered")
</f>
        <v>0</v>
      </c>
      <c r="C44" s="4">
        <f>SUMIFS('Shipments by country'!F:F, 
        'Shipments by country'!B:B, A44, 
        'Shipments by country'!C:C, "R21", 
        'Shipments by country'!G:G, "Delivered")
</f>
        <v>3203800</v>
      </c>
      <c r="D44" s="20">
        <f t="shared" si="1"/>
        <v>3203800</v>
      </c>
      <c r="E44" s="4">
        <f>SUMIFS('Shipments by country'!F:F, 
        'Shipments by country'!B:B, A44, 
        'Shipments by country'!C:C, "RTS,S")
</f>
        <v>0</v>
      </c>
      <c r="F44" s="4">
        <f>SUMIFS('Shipments by country'!F:F, 
        'Shipments by country'!B:B, A44, 
        'Shipments by country'!C:C, "R21")
</f>
        <v>7124900</v>
      </c>
      <c r="G44" s="4">
        <f t="shared" si="2"/>
        <v>7124900</v>
      </c>
      <c r="H44" s="21" t="s">
        <v>80</v>
      </c>
      <c r="I44" s="6">
        <v>3.4E7</v>
      </c>
      <c r="J44" s="21">
        <v>4.8656601E7</v>
      </c>
      <c r="K44" s="23">
        <v>7938350.0</v>
      </c>
      <c r="L44" s="23">
        <f t="shared" si="3"/>
        <v>7144515</v>
      </c>
      <c r="M44" s="24">
        <f t="shared" si="4"/>
        <v>1781225</v>
      </c>
      <c r="N44" s="25">
        <f t="shared" si="5"/>
        <v>0.2493136343</v>
      </c>
      <c r="O44" s="23">
        <f t="shared" si="6"/>
        <v>5363290</v>
      </c>
      <c r="P44" s="25">
        <f t="shared" si="7"/>
        <v>0.7506863657</v>
      </c>
      <c r="Q44" s="24">
        <v>1.2572518E7</v>
      </c>
      <c r="R44" s="6">
        <v>15945.0</v>
      </c>
      <c r="S44" s="24">
        <f t="shared" si="8"/>
        <v>258392.854</v>
      </c>
      <c r="T44" s="24">
        <f t="shared" si="9"/>
        <v>327.7047651</v>
      </c>
      <c r="U44" s="5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$A44) ) ), 0 )"),158551.05933715327)</f>
        <v>158551.0593</v>
      </c>
      <c r="V44" s="5">
        <f>SUMIF('Shipments by country'!$B:$B,$A44,'Shipments by country'!$K:$K)</f>
        <v>6084.757707</v>
      </c>
      <c r="W44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$A44) ) ), 0 )"),314.51698618105206)</f>
        <v>314.5169862</v>
      </c>
      <c r="X44" s="5">
        <f>SUMIF('Shipments by country'!$B:$B,$A44,'Shipments by country'!$L:$L)</f>
        <v>98605.07432</v>
      </c>
      <c r="Y44" s="6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$A44) ) ), 0 )"),148569.2412872426)</f>
        <v>148569.2413</v>
      </c>
      <c r="Z44" s="5">
        <f>SUMIF('Shipments by country'!$B:$B,$A44,'Shipments by country'!$M:$M)</f>
        <v>3721.276268</v>
      </c>
      <c r="AA44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$A44) ) ), 0 )"),294.716100947043)</f>
        <v>294.7161009</v>
      </c>
      <c r="AB44" s="5">
        <f>SUMIF('Shipments by country'!$B:$B,$A44,'Shipments by country'!$N:$N)</f>
        <v>60304.24557</v>
      </c>
      <c r="AC44" s="5">
        <f>IFERROR(__xludf.DUMMYFUNCTION("IFERROR( SUM( FILTER( 'Shipments by country'!$H$2:$H1023 * ( INDEX(Countries!$S$2:$S1023, MATCH('Shipments by country'!$B$2:$B1023, Countries!$A$2:$A1023, 0) ) / 1000000 ) * 'Shipments by country'!$J$2:$J1023, ('Shipments by country'!$E$2:$E1023 &lt; NOW()) "&amp;"* ('Shipments by country'!$I$2:$I1023 &gt; 0) * ('Shipments by country'!$B$2:$B1023 = $A44) ) ), 0 )"),212345.168755116)</f>
        <v>212345.1688</v>
      </c>
      <c r="AD44" s="5">
        <f>SUMIF('Shipments by country'!$B:$B,$A44,'Shipments by country'!$O:$O)</f>
        <v>6084.757707</v>
      </c>
      <c r="AE44" s="5">
        <f>IFERROR(__xludf.DUMMYFUNCTION("IFERROR( SUM( FILTER( 'Shipments by country'!$H$2:$H1023 * ( INDEX(Countries!$T$2:$T1023, MATCH('Shipments by country'!$B$2:$B1023, Countries!$A$2:$A1023, 0) ) / 1000000 ) * 'Shipments by country'!$J$2:$J1023, ('Shipments by country'!$E$2:$E1023 &lt; NOW()) "&amp;"* ('Shipments by country'!$I$2:$I1023 &gt; 0) * ('Shipments by country'!$B$2:$B1023 = $A44) ) ), 0 )"),421.2281064924805)</f>
        <v>421.2281065</v>
      </c>
      <c r="AF44" s="5">
        <f>SUMIF('Shipments by country'!$B:$B,$A44,'Shipments by country'!$P:$P)</f>
        <v>98605.07432</v>
      </c>
      <c r="AG44" s="5">
        <f>IFERROR(__xludf.DUMMYFUNCTION("IFERROR(
  SUM(
    FILTER(
      'Shipments by country'!$H$2:$H1023                                *
      INDEX(Countries!$S$2:$S1023,
            MATCH('Shipments by country'!$B$2:$B1023, Countries!$A$2:$A1023, 0)
           ) / 1000000                "&amp;"                                 *
      'Shipments by country'!$J$2:$J1023,
      ( 'Shipments by country'!$E$2:$E1023 &lt;  NOW()           )        *
      ( 'Shipments by country'!$I$2:$I1023 &gt; 0.25             )        *
      ( 'Shipments by country'!$"&amp;"B$2:$B1023 =  $A44             )
    )
  ),
  0
)
"),198976.66243827136)</f>
        <v>198976.6624</v>
      </c>
      <c r="AH44" s="5">
        <f>SUMIF('Shipments by country'!$B:$B,$A44,'Shipments by country'!$Q:$Q)</f>
        <v>38300.82875</v>
      </c>
      <c r="AI44" s="26">
        <f>IFERROR(__xludf.DUMMYFUNCTION("IFERROR(
  SUM(
    FILTER(
      'Shipments by country'!$H$2:$H1023
        * ( INDEX(Countries!$T$2:$T1023,
                 MATCH('Shipments by country'!$B$2:$B1023, Countries!$A$2:$A1023, 0)
               ) / 1000000 )
        * 'Shipments by country"&amp;"'!$J$2:$J1023,
      ('Shipments by country'!$E$2:$E1023 &lt; NOW()) *
      ('Shipments by country'!$I$2:$I1023 &gt; 0.25) *
      ('Shipments by country'!$B$2:$B1023 = $A44)
    )
  ),
  0
)
"),394.7090637683612)</f>
        <v>394.7090638</v>
      </c>
      <c r="AJ44" s="5">
        <f>SUMIF('Shipments by country'!$B:$B,$A44,'Shipments by country'!$R:$R)</f>
        <v>48.57473375</v>
      </c>
      <c r="AK44" s="26">
        <f t="shared" si="10"/>
        <v>21453160</v>
      </c>
      <c r="AL44" s="27">
        <f>AK44*'Vaccine pricing'!B3</f>
        <v>64144948.4</v>
      </c>
      <c r="AM44" s="28">
        <f>IF($A44="","",
 LET(
  ctry,$A44,
  ctryCol,'Shipments by country'!$B$2:$B1023,
  vaccCol,'Shipments by country'!$C$2:$C1023,
  finCol,'Shipments by country'!$D$2:$D1023,
  doseCol,'Shipments by country'!$F$2:$F1023,
  price,IFERROR(VLOOKUP(vaccCol,'Vaccine pricing'!$A$2:$B1023,2,FALSE),0),
  totCost,SUMPRODUCT((ctryCol=ctry)*doseCol*price),
  gaviCost,SUMPRODUCT((ctryCol=ctry)*(finCol="Gavi")*doseCol*price),
  IF(totCost=0,"",gaviCost/totCost)
 ))
</f>
        <v>0.9510870328</v>
      </c>
      <c r="AN44" s="24">
        <v>11.0</v>
      </c>
      <c r="AO44" s="27">
        <v>4290632.0</v>
      </c>
      <c r="AP44" s="24">
        <v>917.0</v>
      </c>
      <c r="AQ44" s="29">
        <f>'Vaccine pricing'!$B$3*4/((S44/1000000)*'Vaccine efficacy curves'!$C$3)</f>
        <v>61.714813</v>
      </c>
      <c r="AR44" s="29">
        <f>'Vaccine pricing'!$B$3*4/((T44/1000000)*'Vaccine efficacy curves'!$C$3)</f>
        <v>48661.68688</v>
      </c>
      <c r="AS44" s="24">
        <f t="shared" si="11"/>
        <v>1587670</v>
      </c>
      <c r="AT44" s="24">
        <f t="shared" si="12"/>
        <v>6350680</v>
      </c>
      <c r="AU44" s="30">
        <f>AT44*'Vaccine pricing'!B3</f>
        <v>18988533.2</v>
      </c>
      <c r="AV44" s="24">
        <f t="shared" si="13"/>
        <v>4101480.833</v>
      </c>
      <c r="AW44" s="25">
        <f t="shared" si="14"/>
        <v>0.4342882662</v>
      </c>
      <c r="AX44" s="24">
        <f t="shared" si="15"/>
        <v>2320255.833</v>
      </c>
      <c r="AY44" s="25">
        <f t="shared" si="16"/>
        <v>0.5657117338</v>
      </c>
      <c r="AZ44" s="24">
        <f t="shared" si="17"/>
        <v>9281023.333</v>
      </c>
      <c r="BA44" s="30">
        <f>AZ44*'Vaccine pricing'!B3</f>
        <v>27750259.77</v>
      </c>
      <c r="BB44" s="30">
        <v>1856204.666666667</v>
      </c>
    </row>
    <row r="45" ht="22.5" customHeight="1">
      <c r="A45" s="3" t="s">
        <v>121</v>
      </c>
      <c r="B45" s="20">
        <f>SUMIFS('Shipments by country'!F:F, 
        'Shipments by country'!B:B, A45, 
        'Shipments by country'!C:C, "RTS,S", 
        'Shipments by country'!G:G, "Delivered")
</f>
        <v>0</v>
      </c>
      <c r="C45" s="4">
        <f>SUMIFS('Shipments by country'!F:F, 
        'Shipments by country'!B:B, A45, 
        'Shipments by country'!C:C, "R21", 
        'Shipments by country'!G:G, "Delivered")
</f>
        <v>532200</v>
      </c>
      <c r="D45" s="20">
        <f t="shared" si="1"/>
        <v>532200</v>
      </c>
      <c r="E45" s="4">
        <f>SUMIFS('Shipments by country'!F:F, 
        'Shipments by country'!B:B, A45, 
        'Shipments by country'!C:C, "RTS,S")
</f>
        <v>0</v>
      </c>
      <c r="F45" s="4">
        <f>SUMIFS('Shipments by country'!F:F, 
        'Shipments by country'!B:B, A45, 
        'Shipments by country'!C:C, "R21")
</f>
        <v>532200</v>
      </c>
      <c r="G45" s="4">
        <f t="shared" si="2"/>
        <v>532200</v>
      </c>
      <c r="H45" s="21" t="s">
        <v>74</v>
      </c>
      <c r="I45" s="6">
        <v>3.0E7</v>
      </c>
      <c r="J45" s="21">
        <v>2.0723965E7</v>
      </c>
      <c r="K45" s="23">
        <v>3151672.0</v>
      </c>
      <c r="L45" s="23">
        <f t="shared" si="3"/>
        <v>2836504.8</v>
      </c>
      <c r="M45" s="24">
        <f t="shared" si="4"/>
        <v>133050</v>
      </c>
      <c r="N45" s="25">
        <f t="shared" si="5"/>
        <v>0.04690631935</v>
      </c>
      <c r="O45" s="23">
        <f t="shared" si="6"/>
        <v>2703454.8</v>
      </c>
      <c r="P45" s="25">
        <f t="shared" si="7"/>
        <v>0.9530936806</v>
      </c>
      <c r="Q45" s="24">
        <v>3662799.0</v>
      </c>
      <c r="R45" s="6">
        <v>8525.0</v>
      </c>
      <c r="S45" s="24">
        <f t="shared" si="8"/>
        <v>176742.192</v>
      </c>
      <c r="T45" s="24">
        <f t="shared" si="9"/>
        <v>411.3595058</v>
      </c>
      <c r="U45" s="5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$A45) ) ), 0 )"),26337.746981469805)</f>
        <v>26337.74698</v>
      </c>
      <c r="V45" s="5">
        <f>SUMIF('Shipments by country'!$B:$B,$A45,'Shipments by country'!$K:$K)</f>
        <v>249.2637793</v>
      </c>
      <c r="W45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$A45) ) ), 0 )"),52.24606406316122)</f>
        <v>52.24606406</v>
      </c>
      <c r="X45" s="5">
        <f>SUMIF('Shipments by country'!$B:$B,$A45,'Shipments by country'!$L:$L)</f>
        <v>5167.791992</v>
      </c>
      <c r="Y45" s="6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$A45) ) ), 0 )"),19790.42656499394)</f>
        <v>19790.42656</v>
      </c>
      <c r="Z45" s="5">
        <f>SUMIF('Shipments by country'!$B:$B,$A45,'Shipments by country'!$M:$M)</f>
        <v>44.02731958</v>
      </c>
      <c r="AA45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$A45) ) ), 0 )"),39.25817553336748)</f>
        <v>39.25817553</v>
      </c>
      <c r="AB45" s="5">
        <f>SUMIF('Shipments by country'!$B:$B,$A45,'Shipments by country'!$N:$N)</f>
        <v>912.7841605</v>
      </c>
      <c r="AC45" s="5">
        <f>IFERROR(__xludf.DUMMYFUNCTION("IFERROR( SUM( FILTER( 'Shipments by country'!$H$2:$H1023 * ( INDEX(Countries!$S$2:$S1023, MATCH('Shipments by country'!$B$2:$B1023, Countries!$A$2:$A1023, 0) ) / 1000000 ) * 'Shipments by country'!$J$2:$J1023, ('Shipments by country'!$E$2:$E1023 &lt; NOW()) "&amp;"* ('Shipments by country'!$I$2:$I1023 &gt; 0) * ('Shipments by country'!$B$2:$B1023 = $A45) ) ), 0 )"),35273.7682787542)</f>
        <v>35273.76828</v>
      </c>
      <c r="AD45" s="5">
        <f>SUMIF('Shipments by country'!$B:$B,$A45,'Shipments by country'!$O:$O)</f>
        <v>249.2637793</v>
      </c>
      <c r="AE45" s="5">
        <f>IFERROR(__xludf.DUMMYFUNCTION("IFERROR( SUM( FILTER( 'Shipments by country'!$H$2:$H1023 * ( INDEX(Countries!$T$2:$T1023, MATCH('Shipments by country'!$B$2:$B1023, Countries!$A$2:$A1023, 0) ) / 1000000 ) * 'Shipments by country'!$J$2:$J1023, ('Shipments by country'!$E$2:$E1023 &lt; NOW()) "&amp;"* ('Shipments by country'!$I$2:$I1023 &gt; 0) * ('Shipments by country'!$B$2:$B1023 = $A45) ) ), 0 )"),69.97240722744804)</f>
        <v>69.97240723</v>
      </c>
      <c r="AF45" s="5">
        <f>SUMIF('Shipments by country'!$B:$B,$A45,'Shipments by country'!$P:$P)</f>
        <v>5167.791992</v>
      </c>
      <c r="AG45" s="5">
        <f>IFERROR(__xludf.DUMMYFUNCTION("IFERROR(
  SUM(
    FILTER(
      'Shipments by country'!$H$2:$H1023                                *
      INDEX(Countries!$S$2:$S1023,
            MATCH('Shipments by country'!$B$2:$B1023, Countries!$A$2:$A1023, 0)
           ) / 1000000                "&amp;"                                 *
      'Shipments by country'!$J$2:$J1023,
      ( 'Shipments by country'!$E$2:$E1023 &lt;  NOW()           )        *
      ( 'Shipments by country'!$I$2:$I1023 &gt; 0.25             )        *
      ( 'Shipments by country'!$"&amp;"B$2:$B1023 =  $A45             )
    )
  ),
  0
)
"),26505.035578116884)</f>
        <v>26505.03558</v>
      </c>
      <c r="AH45" s="5">
        <f>SUMIF('Shipments by country'!$B:$B,$A45,'Shipments by country'!$Q:$Q)</f>
        <v>4255.007831</v>
      </c>
      <c r="AI45" s="26">
        <f>IFERROR(__xludf.DUMMYFUNCTION("IFERROR(
  SUM(
    FILTER(
      'Shipments by country'!$H$2:$H1023
        * ( INDEX(Countries!$T$2:$T1023,
                 MATCH('Shipments by country'!$B$2:$B1023, Countries!$A$2:$A1023, 0)
               ) / 1000000 )
        * 'Shipments by country"&amp;"'!$J$2:$J1023,
      ('Shipments by country'!$E$2:$E1023 &lt; NOW()) *
      ('Shipments by country'!$I$2:$I1023 &gt; 0.25) *
      ('Shipments by country'!$B$2:$B1023 = $A45)
    )
  ),
  0
)
"),52.577913660760004)</f>
        <v>52.57791366</v>
      </c>
      <c r="AJ45" s="5">
        <f>SUMIF('Shipments by country'!$B:$B,$A45,'Shipments by country'!$R:$R)</f>
        <v>9.903339431</v>
      </c>
      <c r="AK45" s="26">
        <f t="shared" si="10"/>
        <v>10813819.2</v>
      </c>
      <c r="AL45" s="27">
        <f>AK45*'Vaccine pricing'!B3</f>
        <v>32333319.41</v>
      </c>
      <c r="AM45" s="28">
        <f>IF($A45="","",
 LET(
  ctry,$A45,
  ctryCol,'Shipments by country'!$B$2:$B1023,
  vaccCol,'Shipments by country'!$C$2:$C1023,
  finCol,'Shipments by country'!$D$2:$D1023,
  doseCol,'Shipments by country'!$F$2:$F1023,
  price,IFERROR(VLOOKUP(vaccCol,'Vaccine pricing'!$A$2:$B1023,2,FALSE),0),
  totCost,SUMPRODUCT((ctryCol=ctry)*doseCol*price),
  gaviCost,SUMPRODUCT((ctryCol=ctry)*(finCol="Gavi")*doseCol*price),
  IF(totCost=0,"",gaviCost/totCost)
 ))
</f>
        <v>0.7514092446</v>
      </c>
      <c r="AN45" s="24">
        <v>2.0</v>
      </c>
      <c r="AO45" s="27">
        <v>2487178.416</v>
      </c>
      <c r="AP45" s="24">
        <v>1177.0</v>
      </c>
      <c r="AQ45" s="29">
        <f>'Vaccine pricing'!$B$3*4/((S45/1000000)*'Vaccine efficacy curves'!$C$3)</f>
        <v>90.22557936</v>
      </c>
      <c r="AR45" s="29">
        <f>'Vaccine pricing'!$B$3*4/((T45/1000000)*'Vaccine efficacy curves'!$C$3)</f>
        <v>38765.76679</v>
      </c>
      <c r="AS45" s="24">
        <f t="shared" si="11"/>
        <v>630334.4</v>
      </c>
      <c r="AT45" s="24">
        <f t="shared" si="12"/>
        <v>2521337.6</v>
      </c>
      <c r="AU45" s="30">
        <f>AT45*'Vaccine pricing'!B3</f>
        <v>7538799.424</v>
      </c>
      <c r="AV45" s="24">
        <f t="shared" si="13"/>
        <v>1628363.867</v>
      </c>
      <c r="AW45" s="25">
        <f t="shared" si="14"/>
        <v>0.0817077821</v>
      </c>
      <c r="AX45" s="24">
        <f t="shared" si="15"/>
        <v>1495313.867</v>
      </c>
      <c r="AY45" s="25">
        <f t="shared" si="16"/>
        <v>0.9182922179</v>
      </c>
      <c r="AZ45" s="24">
        <f t="shared" si="17"/>
        <v>5981255.467</v>
      </c>
      <c r="BA45" s="30">
        <f>AZ45*'Vaccine pricing'!B3</f>
        <v>17883953.85</v>
      </c>
      <c r="BB45" s="30">
        <v>1375688.7573333334</v>
      </c>
    </row>
    <row r="46" ht="22.5" customHeight="1">
      <c r="A46" s="3" t="s">
        <v>122</v>
      </c>
      <c r="B46" s="20">
        <f>SUMIFS('Shipments by country'!F:F, 
        'Shipments by country'!B:B, A46, 
        'Shipments by country'!C:C, "RTS,S", 
        'Shipments by country'!G:G, "Delivered")
</f>
        <v>0</v>
      </c>
      <c r="C46" s="4">
        <f>SUMIFS('Shipments by country'!F:F, 
        'Shipments by country'!B:B, A46, 
        'Shipments by country'!C:C, "R21", 
        'Shipments by country'!G:G, "Delivered")
</f>
        <v>0</v>
      </c>
      <c r="D46" s="20">
        <f t="shared" si="1"/>
        <v>0</v>
      </c>
      <c r="E46" s="4">
        <f>SUMIFS('Shipments by country'!F:F, 
        'Shipments by country'!B:B, A46, 
        'Shipments by country'!C:C, "RTS,S")
</f>
        <v>0</v>
      </c>
      <c r="F46" s="4">
        <f>SUMIFS('Shipments by country'!F:F, 
        'Shipments by country'!B:B, A46, 
        'Shipments by country'!C:C, "R21")
</f>
        <v>0</v>
      </c>
      <c r="G46" s="4">
        <f t="shared" si="2"/>
        <v>0</v>
      </c>
      <c r="H46" s="21" t="s">
        <v>74</v>
      </c>
      <c r="I46" s="6">
        <v>1.5E7</v>
      </c>
      <c r="J46" s="21">
        <v>1.2867204E7</v>
      </c>
      <c r="K46" s="23">
        <v>2306986.0</v>
      </c>
      <c r="L46" s="23">
        <f t="shared" si="3"/>
        <v>2076287.4</v>
      </c>
      <c r="M46" s="24">
        <f t="shared" si="4"/>
        <v>0</v>
      </c>
      <c r="N46" s="25">
        <f t="shared" si="5"/>
        <v>0</v>
      </c>
      <c r="O46" s="23">
        <f t="shared" si="6"/>
        <v>2076287.4</v>
      </c>
      <c r="P46" s="25">
        <f t="shared" si="7"/>
        <v>1</v>
      </c>
      <c r="Q46" s="24">
        <v>635589.0</v>
      </c>
      <c r="R46" s="6">
        <v>1627.0</v>
      </c>
      <c r="S46" s="24">
        <f t="shared" si="8"/>
        <v>49396.04595</v>
      </c>
      <c r="T46" s="24">
        <f t="shared" si="9"/>
        <v>126.4454966</v>
      </c>
      <c r="U46" s="5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$A46) ) ), 0 )"),0.0)</f>
        <v>0</v>
      </c>
      <c r="V46" s="5">
        <f>SUMIF('Shipments by country'!$B:$B,$A46,'Shipments by country'!$K:$K)</f>
        <v>0</v>
      </c>
      <c r="W46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0) * ('Shipments by country'!$B$2:$B1023 = $A46) ) ), 0 )"),0.0)</f>
        <v>0</v>
      </c>
      <c r="X46" s="5">
        <f>SUMIF('Shipments by country'!$B:$B,$A46,'Shipments by country'!$L:$L)</f>
        <v>0</v>
      </c>
      <c r="Y46" s="6">
        <f>IFERROR(__xludf.DUMMYFUNCTION("IFERROR( SUM( FILTER( 'Shipments by country'!$H$2:$H1023 * ( INDEX(Countries!$S$2:$S1023,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$A46) ) ), 0 )"),0.0)</f>
        <v>0</v>
      </c>
      <c r="Z46" s="5">
        <f>SUMIF('Shipments by country'!$B:$B,$A46,'Shipments by country'!$M:$M)</f>
        <v>0</v>
      </c>
      <c r="AA46" s="5">
        <f>IFERROR(__xludf.DUMMYFUNCTION("IFERROR( SUM( FILTER( 'Shipments by country'!$H$2:$H1023 * ( INDEX(Countries!$T$2:$T1023, MATCH('Shipments by country'!$B$2:$B1023, Countries!$A$2:$A1023, 0) ) / 1000000 ) * INDEX('Vaccine efficacy curves'!$C$2:$C1023, MATCH('Shipments by country'!$C$2:$C"&amp;"1023, 'Vaccine efficacy curves'!$A$2:$A1023, 0) ), ('Shipments by country'!$E$2:$E1023 &lt; NOW()) * ('Shipments by country'!$I$2:$I1023 &gt; 0.25) * ('Shipments by country'!$B$2:$B1023 = $A46) ) ), 0 )"),0.0)</f>
        <v>0</v>
      </c>
      <c r="AB46" s="5">
        <f>SUMIF('Shipments by country'!$B:$B,$A46,'Shipments by country'!$N:$N)</f>
        <v>0</v>
      </c>
      <c r="AC46" s="5">
        <f>IFERROR(__xludf.DUMMYFUNCTION("IFERROR( SUM( FILTER( 'Shipments by country'!$H$2:$H1023 * ( INDEX(Countries!$S$2:$S1023, MATCH('Shipments by country'!$B$2:$B1023, Countries!$A$2:$A1023, 0) ) / 1000000 ) * 'Shipments by country'!$J$2:$J1023, ('Shipments by country'!$E$2:$E1023 &lt; NOW()) "&amp;"* ('Shipments by country'!$I$2:$I1023 &gt; 0) * ('Shipments by country'!$B$2:$B1023 = $A46) ) ), 0 )"),0.0)</f>
        <v>0</v>
      </c>
      <c r="AD46" s="5">
        <f>SUMIF('Shipments by country'!$B:$B,$A46,'Shipments by country'!$O:$O)</f>
        <v>0</v>
      </c>
      <c r="AE46" s="5">
        <f>IFERROR(__xludf.DUMMYFUNCTION("IFERROR( SUM( FILTER( 'Shipments by country'!$H$2:$H1023 * ( INDEX(Countries!$T$2:$T1023, MATCH('Shipments by country'!$B$2:$B1023, Countries!$A$2:$A1023, 0) ) / 1000000 ) * 'Shipments by country'!$J$2:$J1023, ('Shipments by country'!$E$2:$E1023 &lt; NOW()) "&amp;"* ('Shipments by country'!$I$2:$I1023 &gt; 0) * ('Shipments by country'!$B$2:$B1023 = $A46) ) ), 0 )"),0.0)</f>
        <v>0</v>
      </c>
      <c r="AF46" s="5">
        <f>SUMIF('Shipments by country'!$B:$B,$A46,'Shipments by country'!$P:$P)</f>
        <v>0</v>
      </c>
      <c r="AG46" s="5">
        <f>IFERROR(__xludf.DUMMYFUNCTION("IFERROR(
  SUM(
    FILTER(
      'Shipments by country'!$H$2:$H1023                                *
      INDEX(Countries!$S$2:$S1023,
            MATCH('Shipments by country'!$B$2:$B1023, Countries!$A$2:$A1023, 0)
           ) / 1000000                "&amp;"                                 *
      'Shipments by country'!$J$2:$J1023,
      ( 'Shipments by country'!$E$2:$E1023 &lt;  NOW()           )        *
      ( 'Shipments by country'!$I$2:$I1023 &gt; 0.25             )        *
      ( 'Shipments by country'!$"&amp;"B$2:$B1023 =  $A46             )
    )
  ),
  0
)
"),0.0)</f>
        <v>0</v>
      </c>
      <c r="AH46" s="5">
        <f>SUMIF('Shipments by country'!$B:$B,$A46,'Shipments by country'!$Q:$Q)</f>
        <v>0</v>
      </c>
      <c r="AI46" s="26">
        <f>IFERROR(__xludf.DUMMYFUNCTION("IFERROR(
  SUM(
    FILTER(
      'Shipments by country'!$H$2:$H1023
        * ( INDEX(Countries!$T$2:$T1023,
                 MATCH('Shipments by country'!$B$2:$B1023, Countries!$A$2:$A1023, 0)
               ) / 1000000 )
        * 'Shipments by country"&amp;"'!$J$2:$J1023,
      ('Shipments by country'!$E$2:$E1023 &lt; NOW()) *
      ('Shipments by country'!$I$2:$I1023 &gt; 0.25) *
      ('Shipments by country'!$B$2:$B1023 = $A46)
    )
  ),
  0
)
"),0.0)</f>
        <v>0</v>
      </c>
      <c r="AJ46" s="5">
        <f>SUMIF('Shipments by country'!$B:$B,$A46,'Shipments by country'!$R:$R)</f>
        <v>0</v>
      </c>
      <c r="AK46" s="26">
        <f t="shared" si="10"/>
        <v>8305149.6</v>
      </c>
      <c r="AL46" s="27">
        <f>AK46*'Vaccine pricing'!B3</f>
        <v>24832397.3</v>
      </c>
      <c r="AM46" s="28" t="str">
        <f>IF($A46="","",
 LET(
  ctry,$A46,
  ctryCol,'Shipments by country'!$B$2:$B1023,
  vaccCol,'Shipments by country'!$C$2:$C1023,
  finCol,'Shipments by country'!$D$2:$D1023,
  doseCol,'Shipments by country'!$F$2:$F1023,
  price,IFERROR(VLOOKUP(vaccCol,'Vaccine pricing'!$A$2:$B1023,2,FALSE),0),
  totCost,SUMPRODUCT((ctryCol=ctry)*doseCol*price),
  gaviCost,SUMPRODUCT((ctryCol=ctry)*(finCol="Gavi")*doseCol*price),
  IF(totCost=0,"",gaviCost/totCost)
 ))
</f>
        <v/>
      </c>
      <c r="AN46" s="24">
        <v>6.0</v>
      </c>
      <c r="AO46" s="27">
        <v>3340924.4682445494</v>
      </c>
      <c r="AP46" s="24">
        <v>1547.0</v>
      </c>
      <c r="AQ46" s="29">
        <f>'Vaccine pricing'!$B$3*4/((S46/1000000)*'Vaccine efficacy curves'!$C$3)</f>
        <v>322.8328576</v>
      </c>
      <c r="AR46" s="29">
        <f>'Vaccine pricing'!$B$3*4/((T46/1000000)*'Vaccine efficacy curves'!$C$3)</f>
        <v>126114.9435</v>
      </c>
      <c r="AS46" s="24">
        <f t="shared" si="11"/>
        <v>461397.2</v>
      </c>
      <c r="AT46" s="24">
        <f t="shared" si="12"/>
        <v>1845588.8</v>
      </c>
      <c r="AU46" s="30">
        <f>AT46*'Vaccine pricing'!B3</f>
        <v>5518310.512</v>
      </c>
      <c r="AV46" s="24">
        <f t="shared" si="13"/>
        <v>1191942.767</v>
      </c>
      <c r="AW46" s="25">
        <f t="shared" si="14"/>
        <v>0</v>
      </c>
      <c r="AX46" s="24">
        <f t="shared" si="15"/>
        <v>1191942.767</v>
      </c>
      <c r="AY46" s="25">
        <f t="shared" si="16"/>
        <v>1</v>
      </c>
      <c r="AZ46" s="24">
        <f t="shared" si="17"/>
        <v>4767771.067</v>
      </c>
      <c r="BA46" s="30">
        <f>AZ46*'Vaccine pricing'!B3</f>
        <v>14255635.49</v>
      </c>
      <c r="BB46" s="30">
        <v>1917938.1206589078</v>
      </c>
    </row>
    <row r="47" ht="22.5" customHeight="1">
      <c r="A47" s="32" t="s">
        <v>123</v>
      </c>
      <c r="B47" s="33">
        <f>SUM(Summary[RTS,S doses delivered])</f>
        <v>15670600</v>
      </c>
      <c r="C47" s="34">
        <f>SUM(Summary[R21 doses delivered])</f>
        <v>24343200</v>
      </c>
      <c r="D47" s="33">
        <f>SUM(Summary[RTS,S + R21 doses delivered])</f>
        <v>40013800</v>
      </c>
      <c r="E47" s="34">
        <f>SUM(Summary[Total RTS,S doses allocated])</f>
        <v>16738400</v>
      </c>
      <c r="F47" s="34">
        <f>SUM(Summary[Total R21 doses allocated])</f>
        <v>40068000</v>
      </c>
      <c r="G47" s="34">
        <f>SUM(Summary[Total RTS,S + R21 doses allocated])</f>
        <v>56806400</v>
      </c>
      <c r="H47" s="34"/>
      <c r="I47" s="26">
        <f>SUM(Summary[PMI funding, USD (2023)])</f>
        <v>700500000</v>
      </c>
      <c r="J47" s="22">
        <f>SUM(Summary[Population at risk (2023)])</f>
        <v>1193854584</v>
      </c>
      <c r="K47" s="35">
        <f>SUM(Summary[Population under five (2023)])</f>
        <v>189637883</v>
      </c>
      <c r="L47" s="35">
        <f>SUM(Summary[Eligible population (2023, 6-60 months)])</f>
        <v>170674094.7</v>
      </c>
      <c r="M47" s="26">
        <f>SUM(Summary[Eligible population covered])</f>
        <v>14201600</v>
      </c>
      <c r="N47" s="36"/>
      <c r="O47" s="35">
        <f>SUM(Summary[Eligible population not covered (6-60 months)])</f>
        <v>156472494.7</v>
      </c>
      <c r="P47" s="37"/>
      <c r="Q47" s="26">
        <f>SUM(Summary[Total malaria cases per year (2023)])</f>
        <v>250906269</v>
      </c>
      <c r="R47" s="26">
        <f>SUM(Summary[Total malaria deaths per year (2023)])</f>
        <v>579414</v>
      </c>
      <c r="S47" s="26"/>
      <c r="T47" s="26"/>
      <c r="U47" s="26">
        <f>SUM(Summary[New cases averted per year (immediate roll-out)])</f>
        <v>2292774.613</v>
      </c>
      <c r="V47" s="26">
        <f>SUM(Summary[Total cases averted so far (immediate roll-out)])</f>
        <v>182661.9632</v>
      </c>
      <c r="W47" s="26">
        <f>SUM(Summary[New lives saved per year (immediate roll-out)])</f>
        <v>4548.16615</v>
      </c>
      <c r="X47" s="26">
        <f>SUM(Summary[Total lives saved so far (immediate roll-out)])</f>
        <v>1472324.448</v>
      </c>
      <c r="Y47" s="26">
        <f>SUM(Summary[New cases averted per year (six-month roll-out)])</f>
        <v>1993636.797</v>
      </c>
      <c r="Z47" s="26">
        <f>SUM(Summary[Total cases averted so far (six-month roll-out)])</f>
        <v>124515.6062</v>
      </c>
      <c r="AA47" s="26">
        <f>SUM(Summary[New lives saved per year (six-month roll-out)])</f>
        <v>3954.767881</v>
      </c>
      <c r="AB47" s="26">
        <f>SUM(Summary[Total lives saved so far (six-month roll-out)])</f>
        <v>993520.5805</v>
      </c>
      <c r="AC47" s="26">
        <f>SUM(Summary[New cases averted per year (waning efficacy)])</f>
        <v>2747634.824</v>
      </c>
      <c r="AD47" s="26">
        <f>SUM(Summary[Total cases averted so far (waning efficacy)])</f>
        <v>180580.6261</v>
      </c>
      <c r="AE47" s="26">
        <f>SUM(Summary[New lives saved per year (waning efficacy)])</f>
        <v>5450.470199</v>
      </c>
      <c r="AF47" s="26">
        <f>SUM(Summary[Total lives saved so far (waning efficacy)])</f>
        <v>1446310.896</v>
      </c>
      <c r="AG47" s="26">
        <f>SUM(Summary[New cases averted per year (six-month roll-out, waning efficacy)])</f>
        <v>2371580.398</v>
      </c>
      <c r="AH47" s="26">
        <f>SUM(Summary[Total cases averted so far (six-month roll-out, waning efficacy)])</f>
        <v>466871.3038</v>
      </c>
      <c r="AI47" s="26">
        <f>SUM(Summary[New lives saved per year (six-month roll-out, waning efficacy)])</f>
        <v>4704.492814</v>
      </c>
      <c r="AJ47" s="26">
        <f>SUM(Summary[Total lives saved so far (six-month roll-out, waning efficacy)])</f>
        <v>978.6768577</v>
      </c>
      <c r="AK47" s="26">
        <f>SUM(Summary[Current stock of further doses required (6-60 months)])</f>
        <v>625889978.8</v>
      </c>
      <c r="AL47" s="27">
        <f>SUM(Summary[Cost of current stock of further doses required, R21 (6-60 months, USD)])</f>
        <v>1871411037</v>
      </c>
      <c r="AM47" s="38"/>
      <c r="AN47" s="37"/>
      <c r="AO47" s="27">
        <f>SUM(AO2:AO46)</f>
        <v>316234348</v>
      </c>
      <c r="AP47" s="37"/>
      <c r="AQ47" s="37"/>
      <c r="AR47" s="37"/>
      <c r="AS47" s="26">
        <f>SUM(Summary[Births per year])</f>
        <v>37927576.6</v>
      </c>
      <c r="AT47" s="26">
        <f>SUM(Summary[Flow of new vaccines required per year])</f>
        <v>151710306.4</v>
      </c>
      <c r="AU47" s="27">
        <f>SUM(Summary[Cost of flow of new vaccines required per year])</f>
        <v>453613816.1</v>
      </c>
      <c r="AV47" s="26">
        <f>SUM(Summary[Eligible population (2023, 5-36 months)])</f>
        <v>97979572.88</v>
      </c>
      <c r="AW47" s="37"/>
      <c r="AX47" s="26">
        <f>SUM(Summary[Eligible population not covered (5-36 months)])</f>
        <v>83777972.88</v>
      </c>
      <c r="AY47" s="37"/>
      <c r="AZ47" s="26">
        <f>SUM(Summary[Current stock of further doses required (5-36 months)])</f>
        <v>335111891.5</v>
      </c>
      <c r="BA47" s="27">
        <f>SUM(Summary[Cost of current stock of further doses required, R21 (5-36 months, USD)])</f>
        <v>1001984556</v>
      </c>
      <c r="BB47" s="37"/>
    </row>
    <row r="48">
      <c r="B48" s="39"/>
      <c r="C48" s="40"/>
      <c r="E48" s="40"/>
      <c r="F48" s="40"/>
      <c r="G48" s="40"/>
      <c r="H48" s="40"/>
      <c r="I48" s="41"/>
      <c r="K48" s="42"/>
      <c r="L48" s="42"/>
      <c r="M48" s="41"/>
      <c r="N48" s="43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J48" s="41"/>
    </row>
    <row r="49">
      <c r="B49" s="39"/>
      <c r="C49" s="40"/>
      <c r="E49" s="40"/>
      <c r="F49" s="40"/>
      <c r="G49" s="40"/>
      <c r="H49" s="40"/>
      <c r="I49" s="41"/>
      <c r="K49" s="42"/>
      <c r="L49" s="42"/>
      <c r="M49" s="41"/>
      <c r="N49" s="43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J49" s="41"/>
      <c r="AM49" s="44"/>
    </row>
    <row r="50">
      <c r="B50" s="39"/>
      <c r="C50" s="40"/>
      <c r="E50" s="40"/>
      <c r="F50" s="40"/>
      <c r="G50" s="40"/>
      <c r="H50" s="40"/>
      <c r="I50" s="41"/>
      <c r="K50" s="42"/>
      <c r="L50" s="42"/>
      <c r="M50" s="41"/>
      <c r="N50" s="43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J50" s="41"/>
      <c r="AM50" s="44"/>
    </row>
    <row r="51">
      <c r="B51" s="39"/>
      <c r="C51" s="40"/>
      <c r="E51" s="40"/>
      <c r="F51" s="40"/>
      <c r="G51" s="40"/>
      <c r="H51" s="40"/>
      <c r="I51" s="41"/>
      <c r="K51" s="42"/>
      <c r="L51" s="42"/>
      <c r="M51" s="41"/>
      <c r="N51" s="43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J51" s="41"/>
      <c r="AM51" s="44"/>
    </row>
    <row r="52">
      <c r="B52" s="39"/>
      <c r="C52" s="40"/>
      <c r="E52" s="40"/>
      <c r="F52" s="40"/>
      <c r="G52" s="40"/>
      <c r="H52" s="40"/>
      <c r="I52" s="41"/>
      <c r="K52" s="42"/>
      <c r="L52" s="42"/>
      <c r="M52" s="41"/>
      <c r="N52" s="43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J52" s="41"/>
      <c r="AM52" s="44"/>
    </row>
    <row r="53">
      <c r="B53" s="39"/>
      <c r="C53" s="40"/>
      <c r="E53" s="40"/>
      <c r="F53" s="40"/>
      <c r="G53" s="40"/>
      <c r="H53" s="40"/>
      <c r="I53" s="41"/>
      <c r="K53" s="42"/>
      <c r="L53" s="42"/>
      <c r="M53" s="41"/>
      <c r="N53" s="43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J53" s="41"/>
      <c r="AM53" s="44"/>
    </row>
    <row r="54">
      <c r="B54" s="39"/>
      <c r="C54" s="40"/>
      <c r="E54" s="40"/>
      <c r="F54" s="40"/>
      <c r="G54" s="40"/>
      <c r="H54" s="40"/>
      <c r="I54" s="41"/>
      <c r="K54" s="42"/>
      <c r="L54" s="42"/>
      <c r="M54" s="41"/>
      <c r="N54" s="43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J54" s="41"/>
      <c r="AM54" s="44"/>
    </row>
    <row r="55">
      <c r="B55" s="39"/>
      <c r="C55" s="40"/>
      <c r="E55" s="40"/>
      <c r="F55" s="40"/>
      <c r="G55" s="40"/>
      <c r="H55" s="40"/>
      <c r="I55" s="41"/>
      <c r="K55" s="42"/>
      <c r="L55" s="42"/>
      <c r="M55" s="41"/>
      <c r="N55" s="43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J55" s="41"/>
      <c r="AM55" s="44"/>
    </row>
    <row r="56">
      <c r="B56" s="39"/>
      <c r="C56" s="40"/>
      <c r="E56" s="40"/>
      <c r="F56" s="40"/>
      <c r="G56" s="40"/>
      <c r="H56" s="40"/>
      <c r="I56" s="41"/>
      <c r="K56" s="42"/>
      <c r="L56" s="42"/>
      <c r="M56" s="41"/>
      <c r="N56" s="43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J56" s="41"/>
      <c r="AM56" s="44"/>
    </row>
    <row r="57">
      <c r="B57" s="39"/>
      <c r="C57" s="40"/>
      <c r="E57" s="40"/>
      <c r="F57" s="40"/>
      <c r="G57" s="40"/>
      <c r="H57" s="40"/>
      <c r="I57" s="41"/>
      <c r="K57" s="42"/>
      <c r="L57" s="42"/>
      <c r="M57" s="41"/>
      <c r="N57" s="43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J57" s="41"/>
      <c r="AM57" s="44"/>
    </row>
    <row r="58">
      <c r="B58" s="39"/>
      <c r="C58" s="40"/>
      <c r="E58" s="40"/>
      <c r="F58" s="40"/>
      <c r="G58" s="40"/>
      <c r="H58" s="40"/>
      <c r="I58" s="41"/>
      <c r="K58" s="42"/>
      <c r="L58" s="42"/>
      <c r="M58" s="41"/>
      <c r="N58" s="43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J58" s="41"/>
      <c r="AM58" s="44"/>
    </row>
    <row r="59">
      <c r="B59" s="39"/>
      <c r="C59" s="40"/>
      <c r="E59" s="40"/>
      <c r="F59" s="40"/>
      <c r="G59" s="40"/>
      <c r="H59" s="40"/>
      <c r="I59" s="41"/>
      <c r="K59" s="42"/>
      <c r="L59" s="42"/>
      <c r="M59" s="41"/>
      <c r="N59" s="43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J59" s="41"/>
      <c r="AM59" s="44"/>
    </row>
    <row r="60">
      <c r="B60" s="39"/>
      <c r="C60" s="40"/>
      <c r="E60" s="40"/>
      <c r="F60" s="40"/>
      <c r="G60" s="40"/>
      <c r="H60" s="40"/>
      <c r="I60" s="41"/>
      <c r="K60" s="42"/>
      <c r="L60" s="42"/>
      <c r="M60" s="41"/>
      <c r="N60" s="43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J60" s="41"/>
      <c r="AM60" s="44"/>
    </row>
    <row r="61">
      <c r="B61" s="39"/>
      <c r="C61" s="40"/>
      <c r="E61" s="40"/>
      <c r="F61" s="40"/>
      <c r="G61" s="40"/>
      <c r="H61" s="40"/>
      <c r="I61" s="41"/>
      <c r="K61" s="42"/>
      <c r="L61" s="42"/>
      <c r="M61" s="41"/>
      <c r="N61" s="43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J61" s="41"/>
      <c r="AM61" s="44"/>
    </row>
    <row r="62">
      <c r="B62" s="39"/>
      <c r="C62" s="40"/>
      <c r="E62" s="40"/>
      <c r="F62" s="40"/>
      <c r="G62" s="40"/>
      <c r="H62" s="40"/>
      <c r="I62" s="41"/>
      <c r="K62" s="42"/>
      <c r="L62" s="42"/>
      <c r="M62" s="41"/>
      <c r="N62" s="43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J62" s="41"/>
      <c r="AM62" s="44"/>
    </row>
    <row r="63">
      <c r="B63" s="39"/>
      <c r="C63" s="40"/>
      <c r="E63" s="40"/>
      <c r="F63" s="40"/>
      <c r="G63" s="40"/>
      <c r="H63" s="40"/>
      <c r="I63" s="41"/>
      <c r="K63" s="42"/>
      <c r="L63" s="42"/>
      <c r="M63" s="41"/>
      <c r="N63" s="43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J63" s="41"/>
      <c r="AM63" s="44"/>
    </row>
    <row r="64">
      <c r="B64" s="39"/>
      <c r="C64" s="40"/>
      <c r="E64" s="40"/>
      <c r="F64" s="40"/>
      <c r="G64" s="40"/>
      <c r="H64" s="40"/>
      <c r="I64" s="41"/>
      <c r="K64" s="42"/>
      <c r="L64" s="42"/>
      <c r="M64" s="41"/>
      <c r="N64" s="43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J64" s="41"/>
      <c r="AM64" s="44"/>
    </row>
    <row r="65">
      <c r="B65" s="39"/>
      <c r="C65" s="40"/>
      <c r="E65" s="40"/>
      <c r="F65" s="40"/>
      <c r="G65" s="40"/>
      <c r="H65" s="40"/>
      <c r="I65" s="41"/>
      <c r="K65" s="42"/>
      <c r="L65" s="42"/>
      <c r="M65" s="41"/>
      <c r="N65" s="43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J65" s="41"/>
      <c r="AM65" s="44"/>
    </row>
    <row r="66">
      <c r="B66" s="39"/>
      <c r="C66" s="40"/>
      <c r="E66" s="40"/>
      <c r="F66" s="40"/>
      <c r="G66" s="40"/>
      <c r="H66" s="40"/>
      <c r="I66" s="41"/>
      <c r="K66" s="42"/>
      <c r="L66" s="42"/>
      <c r="M66" s="41"/>
      <c r="N66" s="43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J66" s="41"/>
      <c r="AM66" s="44"/>
    </row>
    <row r="67">
      <c r="B67" s="39"/>
      <c r="C67" s="40"/>
      <c r="E67" s="40"/>
      <c r="F67" s="40"/>
      <c r="G67" s="40"/>
      <c r="H67" s="40"/>
      <c r="I67" s="41"/>
      <c r="K67" s="42"/>
      <c r="L67" s="42"/>
      <c r="M67" s="41"/>
      <c r="N67" s="43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J67" s="41"/>
      <c r="AM67" s="44"/>
    </row>
    <row r="68">
      <c r="B68" s="39"/>
      <c r="C68" s="40"/>
      <c r="E68" s="40"/>
      <c r="F68" s="40"/>
      <c r="G68" s="40"/>
      <c r="H68" s="40"/>
      <c r="I68" s="41"/>
      <c r="K68" s="42"/>
      <c r="L68" s="42"/>
      <c r="M68" s="41"/>
      <c r="N68" s="43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J68" s="41"/>
      <c r="AM68" s="44"/>
    </row>
    <row r="69">
      <c r="B69" s="39"/>
      <c r="C69" s="40"/>
      <c r="E69" s="40"/>
      <c r="F69" s="40"/>
      <c r="G69" s="40"/>
      <c r="H69" s="40"/>
      <c r="I69" s="41"/>
      <c r="K69" s="42"/>
      <c r="L69" s="42"/>
      <c r="M69" s="41"/>
      <c r="N69" s="43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J69" s="41"/>
      <c r="AM69" s="44"/>
    </row>
    <row r="70">
      <c r="B70" s="39"/>
      <c r="C70" s="40"/>
      <c r="E70" s="40"/>
      <c r="F70" s="40"/>
      <c r="G70" s="40"/>
      <c r="H70" s="40"/>
      <c r="I70" s="41"/>
      <c r="K70" s="42"/>
      <c r="L70" s="42"/>
      <c r="M70" s="41"/>
      <c r="N70" s="43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J70" s="41"/>
      <c r="AM70" s="44"/>
    </row>
    <row r="71">
      <c r="B71" s="39"/>
      <c r="C71" s="40"/>
      <c r="E71" s="40"/>
      <c r="F71" s="40"/>
      <c r="G71" s="40"/>
      <c r="H71" s="40"/>
      <c r="I71" s="41"/>
      <c r="K71" s="42"/>
      <c r="L71" s="42"/>
      <c r="M71" s="41"/>
      <c r="N71" s="43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J71" s="41"/>
      <c r="AM71" s="44"/>
    </row>
    <row r="72">
      <c r="B72" s="39"/>
      <c r="C72" s="40"/>
      <c r="E72" s="40"/>
      <c r="F72" s="40"/>
      <c r="G72" s="40"/>
      <c r="H72" s="40"/>
      <c r="I72" s="41"/>
      <c r="K72" s="42"/>
      <c r="L72" s="42"/>
      <c r="M72" s="41"/>
      <c r="N72" s="43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J72" s="41"/>
      <c r="AM72" s="44"/>
    </row>
    <row r="73">
      <c r="B73" s="39"/>
      <c r="C73" s="40"/>
      <c r="E73" s="40"/>
      <c r="F73" s="40"/>
      <c r="G73" s="40"/>
      <c r="H73" s="40"/>
      <c r="I73" s="41"/>
      <c r="K73" s="42"/>
      <c r="L73" s="42"/>
      <c r="M73" s="41"/>
      <c r="N73" s="43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J73" s="41"/>
      <c r="AM73" s="44"/>
    </row>
    <row r="74">
      <c r="B74" s="39"/>
      <c r="C74" s="40"/>
      <c r="E74" s="40"/>
      <c r="F74" s="40"/>
      <c r="G74" s="40"/>
      <c r="H74" s="40"/>
      <c r="I74" s="41"/>
      <c r="K74" s="42"/>
      <c r="L74" s="42"/>
      <c r="M74" s="41"/>
      <c r="N74" s="43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J74" s="41"/>
      <c r="AM74" s="44"/>
    </row>
    <row r="75">
      <c r="B75" s="39"/>
      <c r="C75" s="40"/>
      <c r="E75" s="40"/>
      <c r="F75" s="40"/>
      <c r="G75" s="40"/>
      <c r="H75" s="40"/>
      <c r="I75" s="41"/>
      <c r="K75" s="42"/>
      <c r="L75" s="42"/>
      <c r="M75" s="41"/>
      <c r="N75" s="43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J75" s="41"/>
      <c r="AM75" s="44"/>
    </row>
    <row r="76">
      <c r="B76" s="39"/>
      <c r="C76" s="40"/>
      <c r="E76" s="40"/>
      <c r="F76" s="40"/>
      <c r="G76" s="40"/>
      <c r="H76" s="40"/>
      <c r="I76" s="41"/>
      <c r="K76" s="42"/>
      <c r="L76" s="42"/>
      <c r="M76" s="41"/>
      <c r="N76" s="43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J76" s="41"/>
      <c r="AM76" s="44"/>
    </row>
    <row r="77">
      <c r="B77" s="39"/>
      <c r="C77" s="40"/>
      <c r="E77" s="40"/>
      <c r="F77" s="40"/>
      <c r="G77" s="40"/>
      <c r="H77" s="40"/>
      <c r="I77" s="41"/>
      <c r="K77" s="42"/>
      <c r="L77" s="42"/>
      <c r="M77" s="41"/>
      <c r="N77" s="43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J77" s="41"/>
      <c r="AM77" s="44"/>
    </row>
    <row r="78">
      <c r="B78" s="39"/>
      <c r="C78" s="40"/>
      <c r="E78" s="40"/>
      <c r="F78" s="40"/>
      <c r="G78" s="40"/>
      <c r="H78" s="40"/>
      <c r="I78" s="41"/>
      <c r="K78" s="42"/>
      <c r="L78" s="42"/>
      <c r="M78" s="41"/>
      <c r="N78" s="43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J78" s="41"/>
      <c r="AM78" s="44"/>
    </row>
    <row r="79">
      <c r="B79" s="39"/>
      <c r="C79" s="40"/>
      <c r="E79" s="40"/>
      <c r="F79" s="40"/>
      <c r="G79" s="40"/>
      <c r="H79" s="40"/>
      <c r="I79" s="41"/>
      <c r="K79" s="42"/>
      <c r="L79" s="42"/>
      <c r="M79" s="41"/>
      <c r="N79" s="43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J79" s="41"/>
      <c r="AM79" s="44"/>
    </row>
    <row r="80">
      <c r="B80" s="39"/>
      <c r="C80" s="40"/>
      <c r="E80" s="40"/>
      <c r="F80" s="40"/>
      <c r="G80" s="40"/>
      <c r="H80" s="40"/>
      <c r="I80" s="41"/>
      <c r="K80" s="42"/>
      <c r="L80" s="42"/>
      <c r="M80" s="41"/>
      <c r="N80" s="43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J80" s="41"/>
      <c r="AM80" s="44"/>
    </row>
    <row r="81">
      <c r="B81" s="39"/>
      <c r="C81" s="40"/>
      <c r="E81" s="40"/>
      <c r="F81" s="40"/>
      <c r="G81" s="40"/>
      <c r="H81" s="40"/>
      <c r="I81" s="41"/>
      <c r="K81" s="42"/>
      <c r="L81" s="42"/>
      <c r="M81" s="41"/>
      <c r="N81" s="43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J81" s="41"/>
      <c r="AM81" s="44"/>
    </row>
    <row r="82">
      <c r="B82" s="39"/>
      <c r="C82" s="40"/>
      <c r="E82" s="40"/>
      <c r="F82" s="40"/>
      <c r="G82" s="40"/>
      <c r="H82" s="40"/>
      <c r="I82" s="41"/>
      <c r="K82" s="42"/>
      <c r="L82" s="42"/>
      <c r="M82" s="41"/>
      <c r="N82" s="43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J82" s="41"/>
      <c r="AM82" s="44"/>
    </row>
    <row r="83">
      <c r="B83" s="39"/>
      <c r="C83" s="40"/>
      <c r="E83" s="40"/>
      <c r="F83" s="40"/>
      <c r="G83" s="40"/>
      <c r="H83" s="40"/>
      <c r="I83" s="41"/>
      <c r="K83" s="42"/>
      <c r="L83" s="42"/>
      <c r="M83" s="41"/>
      <c r="N83" s="43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J83" s="41"/>
      <c r="AM83" s="44"/>
    </row>
    <row r="84">
      <c r="B84" s="39"/>
      <c r="C84" s="40"/>
      <c r="E84" s="40"/>
      <c r="F84" s="40"/>
      <c r="G84" s="40"/>
      <c r="H84" s="40"/>
      <c r="I84" s="41"/>
      <c r="K84" s="42"/>
      <c r="L84" s="42"/>
      <c r="M84" s="41"/>
      <c r="N84" s="43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J84" s="41"/>
      <c r="AM84" s="44"/>
    </row>
    <row r="85">
      <c r="B85" s="39"/>
      <c r="C85" s="40"/>
      <c r="E85" s="40"/>
      <c r="F85" s="40"/>
      <c r="G85" s="40"/>
      <c r="H85" s="40"/>
      <c r="I85" s="41"/>
      <c r="K85" s="42"/>
      <c r="L85" s="42"/>
      <c r="M85" s="41"/>
      <c r="N85" s="43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J85" s="41"/>
      <c r="AM85" s="44"/>
    </row>
    <row r="86">
      <c r="B86" s="39"/>
      <c r="C86" s="40"/>
      <c r="E86" s="40"/>
      <c r="F86" s="40"/>
      <c r="G86" s="40"/>
      <c r="H86" s="40"/>
      <c r="I86" s="41"/>
      <c r="K86" s="42"/>
      <c r="L86" s="42"/>
      <c r="M86" s="41"/>
      <c r="N86" s="43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J86" s="41"/>
      <c r="AM86" s="44"/>
    </row>
    <row r="87">
      <c r="B87" s="39"/>
      <c r="C87" s="40"/>
      <c r="E87" s="40"/>
      <c r="F87" s="40"/>
      <c r="G87" s="40"/>
      <c r="H87" s="40"/>
      <c r="I87" s="41"/>
      <c r="K87" s="42"/>
      <c r="L87" s="42"/>
      <c r="M87" s="41"/>
      <c r="N87" s="43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J87" s="41"/>
      <c r="AM87" s="44"/>
    </row>
    <row r="88">
      <c r="B88" s="39"/>
      <c r="C88" s="40"/>
      <c r="E88" s="40"/>
      <c r="F88" s="40"/>
      <c r="G88" s="40"/>
      <c r="H88" s="40"/>
      <c r="I88" s="41"/>
      <c r="K88" s="42"/>
      <c r="L88" s="42"/>
      <c r="M88" s="41"/>
      <c r="N88" s="43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J88" s="41"/>
      <c r="AM88" s="44"/>
    </row>
    <row r="89">
      <c r="B89" s="39"/>
      <c r="C89" s="40"/>
      <c r="E89" s="40"/>
      <c r="F89" s="40"/>
      <c r="G89" s="40"/>
      <c r="H89" s="40"/>
      <c r="I89" s="41"/>
      <c r="K89" s="42"/>
      <c r="L89" s="42"/>
      <c r="M89" s="41"/>
      <c r="N89" s="43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J89" s="41"/>
      <c r="AM89" s="44"/>
    </row>
    <row r="90">
      <c r="B90" s="39"/>
      <c r="C90" s="40"/>
      <c r="E90" s="40"/>
      <c r="F90" s="40"/>
      <c r="G90" s="40"/>
      <c r="H90" s="40"/>
      <c r="I90" s="41"/>
      <c r="K90" s="42"/>
      <c r="L90" s="42"/>
      <c r="M90" s="41"/>
      <c r="N90" s="43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J90" s="41"/>
      <c r="AM90" s="44"/>
    </row>
    <row r="91">
      <c r="B91" s="39"/>
      <c r="C91" s="40"/>
      <c r="E91" s="40"/>
      <c r="F91" s="40"/>
      <c r="G91" s="40"/>
      <c r="H91" s="40"/>
      <c r="I91" s="41"/>
      <c r="K91" s="42"/>
      <c r="L91" s="42"/>
      <c r="M91" s="41"/>
      <c r="N91" s="43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J91" s="41"/>
      <c r="AM91" s="44"/>
    </row>
    <row r="92">
      <c r="B92" s="39"/>
      <c r="C92" s="40"/>
      <c r="E92" s="40"/>
      <c r="F92" s="40"/>
      <c r="G92" s="40"/>
      <c r="H92" s="40"/>
      <c r="I92" s="41"/>
      <c r="K92" s="42"/>
      <c r="L92" s="42"/>
      <c r="M92" s="41"/>
      <c r="N92" s="43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J92" s="41"/>
      <c r="AM92" s="44"/>
    </row>
    <row r="93">
      <c r="B93" s="39"/>
      <c r="C93" s="40"/>
      <c r="E93" s="40"/>
      <c r="F93" s="40"/>
      <c r="G93" s="40"/>
      <c r="H93" s="40"/>
      <c r="I93" s="41"/>
      <c r="K93" s="42"/>
      <c r="L93" s="42"/>
      <c r="M93" s="41"/>
      <c r="N93" s="43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J93" s="41"/>
      <c r="AM93" s="44"/>
    </row>
    <row r="94">
      <c r="B94" s="39"/>
      <c r="C94" s="40"/>
      <c r="E94" s="40"/>
      <c r="F94" s="40"/>
      <c r="G94" s="40"/>
      <c r="H94" s="40"/>
      <c r="I94" s="41"/>
      <c r="K94" s="42"/>
      <c r="L94" s="42"/>
      <c r="M94" s="41"/>
      <c r="N94" s="43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J94" s="41"/>
      <c r="AM94" s="44"/>
    </row>
    <row r="95">
      <c r="B95" s="39"/>
      <c r="C95" s="40"/>
      <c r="E95" s="40"/>
      <c r="F95" s="40"/>
      <c r="G95" s="40"/>
      <c r="H95" s="40"/>
      <c r="I95" s="41"/>
      <c r="K95" s="42"/>
      <c r="L95" s="42"/>
      <c r="M95" s="41"/>
      <c r="N95" s="43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J95" s="41"/>
      <c r="AM95" s="44"/>
    </row>
    <row r="96">
      <c r="B96" s="39"/>
      <c r="C96" s="40"/>
      <c r="E96" s="40"/>
      <c r="F96" s="40"/>
      <c r="G96" s="40"/>
      <c r="H96" s="40"/>
      <c r="I96" s="41"/>
      <c r="K96" s="42"/>
      <c r="L96" s="42"/>
      <c r="M96" s="41"/>
      <c r="N96" s="43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J96" s="41"/>
      <c r="AM96" s="44"/>
    </row>
    <row r="97">
      <c r="B97" s="39"/>
      <c r="C97" s="40"/>
      <c r="E97" s="40"/>
      <c r="F97" s="40"/>
      <c r="G97" s="40"/>
      <c r="H97" s="40"/>
      <c r="I97" s="41"/>
      <c r="K97" s="42"/>
      <c r="L97" s="42"/>
      <c r="M97" s="41"/>
      <c r="N97" s="43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J97" s="41"/>
      <c r="AM97" s="44"/>
    </row>
    <row r="98">
      <c r="B98" s="39"/>
      <c r="C98" s="40"/>
      <c r="E98" s="40"/>
      <c r="F98" s="40"/>
      <c r="G98" s="40"/>
      <c r="H98" s="40"/>
      <c r="I98" s="41"/>
      <c r="K98" s="42"/>
      <c r="L98" s="42"/>
      <c r="M98" s="41"/>
      <c r="N98" s="43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J98" s="41"/>
      <c r="AM98" s="44"/>
    </row>
    <row r="99">
      <c r="B99" s="39"/>
      <c r="C99" s="40"/>
      <c r="E99" s="40"/>
      <c r="F99" s="40"/>
      <c r="G99" s="40"/>
      <c r="H99" s="40"/>
      <c r="I99" s="41"/>
      <c r="K99" s="42"/>
      <c r="L99" s="42"/>
      <c r="M99" s="41"/>
      <c r="N99" s="43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J99" s="41"/>
      <c r="AM99" s="44"/>
    </row>
    <row r="100">
      <c r="B100" s="39"/>
      <c r="C100" s="40"/>
      <c r="E100" s="40"/>
      <c r="F100" s="40"/>
      <c r="G100" s="40"/>
      <c r="H100" s="40"/>
      <c r="I100" s="41"/>
      <c r="K100" s="42"/>
      <c r="L100" s="42"/>
      <c r="M100" s="41"/>
      <c r="N100" s="43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J100" s="41"/>
      <c r="AM100" s="44"/>
    </row>
    <row r="101">
      <c r="B101" s="39"/>
      <c r="C101" s="40"/>
      <c r="E101" s="40"/>
      <c r="F101" s="40"/>
      <c r="G101" s="40"/>
      <c r="H101" s="40"/>
      <c r="I101" s="41"/>
      <c r="K101" s="42"/>
      <c r="L101" s="42"/>
      <c r="M101" s="41"/>
      <c r="N101" s="43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J101" s="41"/>
      <c r="AM101" s="44"/>
    </row>
    <row r="102">
      <c r="B102" s="39"/>
      <c r="C102" s="40"/>
      <c r="E102" s="40"/>
      <c r="F102" s="40"/>
      <c r="G102" s="40"/>
      <c r="H102" s="40"/>
      <c r="I102" s="41"/>
      <c r="K102" s="42"/>
      <c r="L102" s="42"/>
      <c r="M102" s="41"/>
      <c r="N102" s="43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J102" s="41"/>
      <c r="AM102" s="44"/>
    </row>
    <row r="103">
      <c r="B103" s="39"/>
      <c r="C103" s="40"/>
      <c r="E103" s="40"/>
      <c r="F103" s="40"/>
      <c r="G103" s="40"/>
      <c r="H103" s="40"/>
      <c r="I103" s="41"/>
      <c r="K103" s="42"/>
      <c r="L103" s="42"/>
      <c r="M103" s="41"/>
      <c r="N103" s="43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J103" s="41"/>
      <c r="AM103" s="44"/>
    </row>
    <row r="104">
      <c r="B104" s="39"/>
      <c r="C104" s="40"/>
      <c r="E104" s="40"/>
      <c r="F104" s="40"/>
      <c r="G104" s="40"/>
      <c r="H104" s="40"/>
      <c r="I104" s="41"/>
      <c r="K104" s="42"/>
      <c r="L104" s="42"/>
      <c r="M104" s="41"/>
      <c r="N104" s="43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J104" s="41"/>
      <c r="AM104" s="44"/>
    </row>
    <row r="105">
      <c r="B105" s="39"/>
      <c r="C105" s="40"/>
      <c r="E105" s="40"/>
      <c r="F105" s="40"/>
      <c r="G105" s="40"/>
      <c r="H105" s="40"/>
      <c r="I105" s="41"/>
      <c r="K105" s="42"/>
      <c r="L105" s="42"/>
      <c r="M105" s="41"/>
      <c r="N105" s="43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J105" s="41"/>
      <c r="AM105" s="44"/>
    </row>
    <row r="106">
      <c r="B106" s="39"/>
      <c r="C106" s="40"/>
      <c r="E106" s="40"/>
      <c r="F106" s="40"/>
      <c r="G106" s="40"/>
      <c r="H106" s="40"/>
      <c r="I106" s="41"/>
      <c r="K106" s="42"/>
      <c r="L106" s="42"/>
      <c r="M106" s="41"/>
      <c r="N106" s="43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J106" s="41"/>
      <c r="AM106" s="44"/>
    </row>
    <row r="107">
      <c r="B107" s="39"/>
      <c r="C107" s="40"/>
      <c r="E107" s="40"/>
      <c r="F107" s="40"/>
      <c r="G107" s="40"/>
      <c r="H107" s="40"/>
      <c r="I107" s="41"/>
      <c r="K107" s="42"/>
      <c r="L107" s="42"/>
      <c r="M107" s="41"/>
      <c r="N107" s="43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J107" s="41"/>
      <c r="AM107" s="44"/>
    </row>
    <row r="108">
      <c r="B108" s="39"/>
      <c r="C108" s="40"/>
      <c r="E108" s="40"/>
      <c r="F108" s="40"/>
      <c r="G108" s="40"/>
      <c r="H108" s="40"/>
      <c r="I108" s="41"/>
      <c r="K108" s="42"/>
      <c r="L108" s="42"/>
      <c r="M108" s="41"/>
      <c r="N108" s="43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J108" s="41"/>
      <c r="AM108" s="44"/>
    </row>
    <row r="109">
      <c r="B109" s="39"/>
      <c r="C109" s="40"/>
      <c r="E109" s="40"/>
      <c r="F109" s="40"/>
      <c r="G109" s="40"/>
      <c r="H109" s="40"/>
      <c r="I109" s="41"/>
      <c r="K109" s="42"/>
      <c r="L109" s="42"/>
      <c r="M109" s="41"/>
      <c r="N109" s="43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J109" s="41"/>
      <c r="AM109" s="44"/>
    </row>
    <row r="110">
      <c r="B110" s="39"/>
      <c r="C110" s="40"/>
      <c r="E110" s="40"/>
      <c r="F110" s="40"/>
      <c r="G110" s="40"/>
      <c r="H110" s="40"/>
      <c r="I110" s="41"/>
      <c r="K110" s="42"/>
      <c r="L110" s="42"/>
      <c r="M110" s="41"/>
      <c r="N110" s="43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J110" s="41"/>
      <c r="AM110" s="44"/>
    </row>
    <row r="111">
      <c r="B111" s="39"/>
      <c r="C111" s="40"/>
      <c r="E111" s="40"/>
      <c r="F111" s="40"/>
      <c r="G111" s="40"/>
      <c r="H111" s="40"/>
      <c r="I111" s="41"/>
      <c r="K111" s="42"/>
      <c r="L111" s="42"/>
      <c r="M111" s="41"/>
      <c r="N111" s="43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J111" s="41"/>
      <c r="AM111" s="44"/>
    </row>
    <row r="112">
      <c r="B112" s="39"/>
      <c r="C112" s="40"/>
      <c r="E112" s="40"/>
      <c r="F112" s="40"/>
      <c r="G112" s="40"/>
      <c r="H112" s="40"/>
      <c r="I112" s="41"/>
      <c r="K112" s="42"/>
      <c r="L112" s="42"/>
      <c r="M112" s="41"/>
      <c r="N112" s="43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J112" s="41"/>
      <c r="AM112" s="44"/>
    </row>
    <row r="113">
      <c r="B113" s="39"/>
      <c r="C113" s="40"/>
      <c r="E113" s="40"/>
      <c r="F113" s="40"/>
      <c r="G113" s="40"/>
      <c r="H113" s="40"/>
      <c r="I113" s="41"/>
      <c r="K113" s="42"/>
      <c r="L113" s="42"/>
      <c r="M113" s="41"/>
      <c r="N113" s="43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J113" s="41"/>
      <c r="AM113" s="44"/>
    </row>
    <row r="114">
      <c r="B114" s="39"/>
      <c r="C114" s="40"/>
      <c r="E114" s="40"/>
      <c r="F114" s="40"/>
      <c r="G114" s="40"/>
      <c r="H114" s="40"/>
      <c r="I114" s="41"/>
      <c r="K114" s="42"/>
      <c r="L114" s="42"/>
      <c r="M114" s="41"/>
      <c r="N114" s="43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J114" s="41"/>
      <c r="AM114" s="44"/>
    </row>
    <row r="115">
      <c r="B115" s="39"/>
      <c r="C115" s="40"/>
      <c r="E115" s="40"/>
      <c r="F115" s="40"/>
      <c r="G115" s="40"/>
      <c r="H115" s="40"/>
      <c r="I115" s="41"/>
      <c r="K115" s="42"/>
      <c r="L115" s="42"/>
      <c r="M115" s="41"/>
      <c r="N115" s="43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J115" s="41"/>
      <c r="AM115" s="44"/>
    </row>
    <row r="116">
      <c r="B116" s="39"/>
      <c r="C116" s="40"/>
      <c r="E116" s="40"/>
      <c r="F116" s="40"/>
      <c r="G116" s="40"/>
      <c r="H116" s="40"/>
      <c r="I116" s="41"/>
      <c r="K116" s="42"/>
      <c r="L116" s="42"/>
      <c r="M116" s="41"/>
      <c r="N116" s="43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J116" s="41"/>
      <c r="AM116" s="44"/>
    </row>
    <row r="117">
      <c r="B117" s="39"/>
      <c r="C117" s="40"/>
      <c r="E117" s="40"/>
      <c r="F117" s="40"/>
      <c r="G117" s="40"/>
      <c r="H117" s="40"/>
      <c r="I117" s="41"/>
      <c r="K117" s="42"/>
      <c r="L117" s="42"/>
      <c r="M117" s="41"/>
      <c r="N117" s="43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J117" s="41"/>
      <c r="AM117" s="44"/>
    </row>
    <row r="118">
      <c r="B118" s="39"/>
      <c r="C118" s="40"/>
      <c r="E118" s="40"/>
      <c r="F118" s="40"/>
      <c r="G118" s="40"/>
      <c r="H118" s="40"/>
      <c r="I118" s="41"/>
      <c r="K118" s="42"/>
      <c r="L118" s="42"/>
      <c r="M118" s="41"/>
      <c r="N118" s="43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J118" s="41"/>
      <c r="AM118" s="44"/>
    </row>
    <row r="119">
      <c r="B119" s="39"/>
      <c r="C119" s="40"/>
      <c r="E119" s="40"/>
      <c r="F119" s="40"/>
      <c r="G119" s="40"/>
      <c r="H119" s="40"/>
      <c r="I119" s="41"/>
      <c r="K119" s="42"/>
      <c r="L119" s="42"/>
      <c r="M119" s="41"/>
      <c r="N119" s="43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J119" s="41"/>
      <c r="AM119" s="44"/>
    </row>
    <row r="120">
      <c r="B120" s="39"/>
      <c r="C120" s="40"/>
      <c r="E120" s="40"/>
      <c r="F120" s="40"/>
      <c r="G120" s="40"/>
      <c r="H120" s="40"/>
      <c r="I120" s="41"/>
      <c r="K120" s="42"/>
      <c r="L120" s="42"/>
      <c r="M120" s="41"/>
      <c r="N120" s="43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J120" s="41"/>
      <c r="AM120" s="44"/>
    </row>
    <row r="121">
      <c r="B121" s="39"/>
      <c r="C121" s="40"/>
      <c r="E121" s="40"/>
      <c r="F121" s="40"/>
      <c r="G121" s="40"/>
      <c r="H121" s="40"/>
      <c r="I121" s="41"/>
      <c r="K121" s="42"/>
      <c r="L121" s="42"/>
      <c r="M121" s="41"/>
      <c r="N121" s="43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J121" s="41"/>
      <c r="AM121" s="44"/>
    </row>
    <row r="122">
      <c r="B122" s="39"/>
      <c r="C122" s="40"/>
      <c r="E122" s="40"/>
      <c r="F122" s="40"/>
      <c r="G122" s="40"/>
      <c r="H122" s="40"/>
      <c r="I122" s="41"/>
      <c r="K122" s="42"/>
      <c r="L122" s="42"/>
      <c r="M122" s="41"/>
      <c r="N122" s="43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J122" s="41"/>
      <c r="AM122" s="44"/>
    </row>
    <row r="123">
      <c r="B123" s="39"/>
      <c r="C123" s="40"/>
      <c r="E123" s="40"/>
      <c r="F123" s="40"/>
      <c r="G123" s="40"/>
      <c r="H123" s="40"/>
      <c r="I123" s="41"/>
      <c r="K123" s="42"/>
      <c r="L123" s="42"/>
      <c r="M123" s="41"/>
      <c r="N123" s="43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J123" s="41"/>
      <c r="AM123" s="44"/>
    </row>
    <row r="124">
      <c r="B124" s="39"/>
      <c r="C124" s="40"/>
      <c r="E124" s="40"/>
      <c r="F124" s="40"/>
      <c r="G124" s="40"/>
      <c r="H124" s="40"/>
      <c r="I124" s="41"/>
      <c r="K124" s="42"/>
      <c r="L124" s="42"/>
      <c r="M124" s="41"/>
      <c r="N124" s="43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J124" s="41"/>
      <c r="AM124" s="44"/>
    </row>
    <row r="125">
      <c r="B125" s="39"/>
      <c r="C125" s="40"/>
      <c r="E125" s="40"/>
      <c r="F125" s="40"/>
      <c r="G125" s="40"/>
      <c r="H125" s="40"/>
      <c r="I125" s="41"/>
      <c r="K125" s="42"/>
      <c r="L125" s="42"/>
      <c r="M125" s="41"/>
      <c r="N125" s="43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J125" s="41"/>
      <c r="AM125" s="44"/>
    </row>
    <row r="126">
      <c r="B126" s="39"/>
      <c r="C126" s="40"/>
      <c r="E126" s="40"/>
      <c r="F126" s="40"/>
      <c r="G126" s="40"/>
      <c r="H126" s="40"/>
      <c r="I126" s="41"/>
      <c r="K126" s="42"/>
      <c r="L126" s="42"/>
      <c r="M126" s="41"/>
      <c r="N126" s="43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J126" s="41"/>
      <c r="AM126" s="44"/>
    </row>
    <row r="127">
      <c r="B127" s="39"/>
      <c r="C127" s="40"/>
      <c r="E127" s="40"/>
      <c r="F127" s="40"/>
      <c r="G127" s="40"/>
      <c r="H127" s="40"/>
      <c r="I127" s="41"/>
      <c r="K127" s="42"/>
      <c r="L127" s="42"/>
      <c r="M127" s="41"/>
      <c r="N127" s="43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J127" s="41"/>
      <c r="AM127" s="44"/>
    </row>
    <row r="128">
      <c r="B128" s="39"/>
      <c r="C128" s="40"/>
      <c r="E128" s="40"/>
      <c r="F128" s="40"/>
      <c r="G128" s="40"/>
      <c r="H128" s="40"/>
      <c r="I128" s="41"/>
      <c r="K128" s="42"/>
      <c r="L128" s="42"/>
      <c r="M128" s="41"/>
      <c r="N128" s="43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J128" s="41"/>
      <c r="AM128" s="44"/>
    </row>
    <row r="129">
      <c r="B129" s="39"/>
      <c r="C129" s="40"/>
      <c r="E129" s="40"/>
      <c r="F129" s="40"/>
      <c r="G129" s="40"/>
      <c r="H129" s="40"/>
      <c r="I129" s="41"/>
      <c r="K129" s="42"/>
      <c r="L129" s="42"/>
      <c r="M129" s="41"/>
      <c r="N129" s="43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J129" s="41"/>
      <c r="AM129" s="44"/>
    </row>
    <row r="130">
      <c r="B130" s="39"/>
      <c r="C130" s="40"/>
      <c r="E130" s="40"/>
      <c r="F130" s="40"/>
      <c r="G130" s="40"/>
      <c r="H130" s="40"/>
      <c r="I130" s="41"/>
      <c r="K130" s="42"/>
      <c r="L130" s="42"/>
      <c r="M130" s="41"/>
      <c r="N130" s="43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J130" s="41"/>
      <c r="AM130" s="44"/>
    </row>
    <row r="131">
      <c r="B131" s="39"/>
      <c r="C131" s="40"/>
      <c r="E131" s="40"/>
      <c r="F131" s="40"/>
      <c r="G131" s="40"/>
      <c r="H131" s="40"/>
      <c r="I131" s="41"/>
      <c r="K131" s="42"/>
      <c r="L131" s="42"/>
      <c r="M131" s="41"/>
      <c r="N131" s="43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J131" s="41"/>
      <c r="AM131" s="44"/>
    </row>
    <row r="132">
      <c r="B132" s="39"/>
      <c r="C132" s="40"/>
      <c r="E132" s="40"/>
      <c r="F132" s="40"/>
      <c r="G132" s="40"/>
      <c r="H132" s="40"/>
      <c r="I132" s="41"/>
      <c r="K132" s="42"/>
      <c r="L132" s="42"/>
      <c r="M132" s="41"/>
      <c r="N132" s="43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J132" s="41"/>
      <c r="AM132" s="44"/>
    </row>
    <row r="133">
      <c r="B133" s="39"/>
      <c r="C133" s="40"/>
      <c r="E133" s="40"/>
      <c r="F133" s="40"/>
      <c r="G133" s="40"/>
      <c r="H133" s="40"/>
      <c r="I133" s="41"/>
      <c r="K133" s="42"/>
      <c r="L133" s="42"/>
      <c r="M133" s="41"/>
      <c r="N133" s="43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J133" s="41"/>
      <c r="AM133" s="44"/>
    </row>
    <row r="134">
      <c r="B134" s="39"/>
      <c r="C134" s="40"/>
      <c r="E134" s="40"/>
      <c r="F134" s="40"/>
      <c r="G134" s="40"/>
      <c r="H134" s="40"/>
      <c r="I134" s="41"/>
      <c r="K134" s="42"/>
      <c r="L134" s="42"/>
      <c r="M134" s="41"/>
      <c r="N134" s="43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J134" s="41"/>
      <c r="AM134" s="44"/>
    </row>
    <row r="135">
      <c r="B135" s="39"/>
      <c r="C135" s="40"/>
      <c r="E135" s="40"/>
      <c r="F135" s="40"/>
      <c r="G135" s="40"/>
      <c r="H135" s="40"/>
      <c r="I135" s="41"/>
      <c r="K135" s="42"/>
      <c r="L135" s="42"/>
      <c r="M135" s="41"/>
      <c r="N135" s="43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J135" s="41"/>
      <c r="AM135" s="44"/>
    </row>
    <row r="136">
      <c r="B136" s="39"/>
      <c r="C136" s="40"/>
      <c r="E136" s="40"/>
      <c r="F136" s="40"/>
      <c r="G136" s="40"/>
      <c r="H136" s="40"/>
      <c r="I136" s="41"/>
      <c r="K136" s="42"/>
      <c r="L136" s="42"/>
      <c r="M136" s="41"/>
      <c r="N136" s="43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J136" s="41"/>
      <c r="AM136" s="44"/>
    </row>
    <row r="137">
      <c r="B137" s="39"/>
      <c r="C137" s="40"/>
      <c r="E137" s="40"/>
      <c r="F137" s="40"/>
      <c r="G137" s="40"/>
      <c r="H137" s="40"/>
      <c r="I137" s="41"/>
      <c r="K137" s="42"/>
      <c r="L137" s="42"/>
      <c r="M137" s="41"/>
      <c r="N137" s="43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J137" s="41"/>
      <c r="AM137" s="44"/>
    </row>
    <row r="138">
      <c r="B138" s="39"/>
      <c r="C138" s="40"/>
      <c r="E138" s="40"/>
      <c r="F138" s="40"/>
      <c r="G138" s="40"/>
      <c r="H138" s="40"/>
      <c r="I138" s="41"/>
      <c r="K138" s="42"/>
      <c r="L138" s="42"/>
      <c r="M138" s="41"/>
      <c r="N138" s="43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J138" s="41"/>
      <c r="AM138" s="44"/>
    </row>
    <row r="139">
      <c r="B139" s="39"/>
      <c r="C139" s="40"/>
      <c r="E139" s="40"/>
      <c r="F139" s="40"/>
      <c r="G139" s="40"/>
      <c r="H139" s="40"/>
      <c r="I139" s="41"/>
      <c r="K139" s="42"/>
      <c r="L139" s="42"/>
      <c r="M139" s="41"/>
      <c r="N139" s="43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J139" s="41"/>
      <c r="AM139" s="44"/>
    </row>
    <row r="140">
      <c r="B140" s="39"/>
      <c r="C140" s="40"/>
      <c r="E140" s="40"/>
      <c r="F140" s="40"/>
      <c r="G140" s="40"/>
      <c r="H140" s="40"/>
      <c r="I140" s="41"/>
      <c r="K140" s="42"/>
      <c r="L140" s="42"/>
      <c r="M140" s="41"/>
      <c r="N140" s="43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J140" s="41"/>
      <c r="AM140" s="44"/>
    </row>
    <row r="141">
      <c r="B141" s="39"/>
      <c r="C141" s="40"/>
      <c r="E141" s="40"/>
      <c r="F141" s="40"/>
      <c r="G141" s="40"/>
      <c r="H141" s="40"/>
      <c r="I141" s="41"/>
      <c r="K141" s="42"/>
      <c r="L141" s="42"/>
      <c r="M141" s="41"/>
      <c r="N141" s="43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J141" s="41"/>
      <c r="AM141" s="44"/>
    </row>
    <row r="142">
      <c r="B142" s="39"/>
      <c r="C142" s="40"/>
      <c r="E142" s="40"/>
      <c r="F142" s="40"/>
      <c r="G142" s="40"/>
      <c r="H142" s="40"/>
      <c r="I142" s="41"/>
      <c r="K142" s="42"/>
      <c r="L142" s="42"/>
      <c r="M142" s="41"/>
      <c r="N142" s="43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J142" s="41"/>
      <c r="AM142" s="44"/>
    </row>
    <row r="143">
      <c r="B143" s="39"/>
      <c r="C143" s="40"/>
      <c r="E143" s="40"/>
      <c r="F143" s="40"/>
      <c r="G143" s="40"/>
      <c r="H143" s="40"/>
      <c r="I143" s="41"/>
      <c r="K143" s="42"/>
      <c r="L143" s="42"/>
      <c r="M143" s="41"/>
      <c r="N143" s="43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J143" s="41"/>
      <c r="AM143" s="44"/>
    </row>
    <row r="144">
      <c r="B144" s="39"/>
      <c r="C144" s="40"/>
      <c r="E144" s="40"/>
      <c r="F144" s="40"/>
      <c r="G144" s="40"/>
      <c r="H144" s="40"/>
      <c r="I144" s="41"/>
      <c r="K144" s="42"/>
      <c r="L144" s="42"/>
      <c r="M144" s="41"/>
      <c r="N144" s="43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J144" s="41"/>
      <c r="AM144" s="44"/>
    </row>
    <row r="145">
      <c r="B145" s="39"/>
      <c r="C145" s="40"/>
      <c r="E145" s="40"/>
      <c r="F145" s="40"/>
      <c r="G145" s="40"/>
      <c r="H145" s="40"/>
      <c r="I145" s="41"/>
      <c r="K145" s="42"/>
      <c r="L145" s="42"/>
      <c r="M145" s="41"/>
      <c r="N145" s="43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J145" s="41"/>
      <c r="AM145" s="44"/>
    </row>
    <row r="146">
      <c r="B146" s="39"/>
      <c r="C146" s="40"/>
      <c r="E146" s="40"/>
      <c r="F146" s="40"/>
      <c r="G146" s="40"/>
      <c r="H146" s="40"/>
      <c r="I146" s="41"/>
      <c r="K146" s="42"/>
      <c r="L146" s="42"/>
      <c r="M146" s="41"/>
      <c r="N146" s="43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J146" s="41"/>
      <c r="AM146" s="44"/>
    </row>
    <row r="147">
      <c r="B147" s="39"/>
      <c r="C147" s="40"/>
      <c r="E147" s="40"/>
      <c r="F147" s="40"/>
      <c r="G147" s="40"/>
      <c r="H147" s="40"/>
      <c r="I147" s="41"/>
      <c r="K147" s="42"/>
      <c r="L147" s="42"/>
      <c r="M147" s="41"/>
      <c r="N147" s="43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J147" s="41"/>
      <c r="AM147" s="44"/>
    </row>
    <row r="148">
      <c r="B148" s="39"/>
      <c r="C148" s="40"/>
      <c r="E148" s="40"/>
      <c r="F148" s="40"/>
      <c r="G148" s="40"/>
      <c r="H148" s="40"/>
      <c r="I148" s="41"/>
      <c r="K148" s="42"/>
      <c r="L148" s="42"/>
      <c r="M148" s="41"/>
      <c r="N148" s="43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J148" s="41"/>
      <c r="AM148" s="44"/>
    </row>
    <row r="149">
      <c r="B149" s="39"/>
      <c r="C149" s="40"/>
      <c r="E149" s="40"/>
      <c r="F149" s="40"/>
      <c r="G149" s="40"/>
      <c r="H149" s="40"/>
      <c r="I149" s="41"/>
      <c r="K149" s="42"/>
      <c r="L149" s="42"/>
      <c r="M149" s="41"/>
      <c r="N149" s="43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J149" s="41"/>
      <c r="AM149" s="44"/>
    </row>
    <row r="150">
      <c r="B150" s="39"/>
      <c r="C150" s="40"/>
      <c r="E150" s="40"/>
      <c r="F150" s="40"/>
      <c r="G150" s="40"/>
      <c r="H150" s="40"/>
      <c r="I150" s="41"/>
      <c r="K150" s="42"/>
      <c r="L150" s="42"/>
      <c r="M150" s="41"/>
      <c r="N150" s="43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J150" s="41"/>
      <c r="AM150" s="44"/>
    </row>
    <row r="151">
      <c r="B151" s="39"/>
      <c r="C151" s="40"/>
      <c r="E151" s="40"/>
      <c r="F151" s="40"/>
      <c r="G151" s="40"/>
      <c r="H151" s="40"/>
      <c r="I151" s="41"/>
      <c r="K151" s="42"/>
      <c r="L151" s="42"/>
      <c r="M151" s="41"/>
      <c r="N151" s="43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J151" s="41"/>
      <c r="AM151" s="44"/>
    </row>
    <row r="152">
      <c r="B152" s="39"/>
      <c r="C152" s="40"/>
      <c r="E152" s="40"/>
      <c r="F152" s="40"/>
      <c r="G152" s="40"/>
      <c r="H152" s="40"/>
      <c r="I152" s="41"/>
      <c r="K152" s="42"/>
      <c r="L152" s="42"/>
      <c r="M152" s="41"/>
      <c r="N152" s="43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J152" s="41"/>
      <c r="AM152" s="44"/>
    </row>
    <row r="153">
      <c r="B153" s="39"/>
      <c r="C153" s="40"/>
      <c r="E153" s="40"/>
      <c r="F153" s="40"/>
      <c r="G153" s="40"/>
      <c r="H153" s="40"/>
      <c r="I153" s="41"/>
      <c r="K153" s="42"/>
      <c r="L153" s="42"/>
      <c r="M153" s="41"/>
      <c r="N153" s="43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J153" s="41"/>
      <c r="AM153" s="44"/>
    </row>
    <row r="154">
      <c r="B154" s="39"/>
      <c r="C154" s="40"/>
      <c r="E154" s="40"/>
      <c r="F154" s="40"/>
      <c r="G154" s="40"/>
      <c r="H154" s="40"/>
      <c r="I154" s="41"/>
      <c r="K154" s="42"/>
      <c r="L154" s="42"/>
      <c r="M154" s="41"/>
      <c r="N154" s="43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J154" s="41"/>
      <c r="AM154" s="44"/>
    </row>
    <row r="155">
      <c r="B155" s="39"/>
      <c r="C155" s="40"/>
      <c r="E155" s="40"/>
      <c r="F155" s="40"/>
      <c r="G155" s="40"/>
      <c r="H155" s="40"/>
      <c r="I155" s="41"/>
      <c r="K155" s="42"/>
      <c r="L155" s="42"/>
      <c r="M155" s="41"/>
      <c r="N155" s="43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J155" s="41"/>
      <c r="AM155" s="44"/>
    </row>
    <row r="156">
      <c r="B156" s="39"/>
      <c r="C156" s="40"/>
      <c r="E156" s="40"/>
      <c r="F156" s="40"/>
      <c r="G156" s="40"/>
      <c r="H156" s="40"/>
      <c r="I156" s="41"/>
      <c r="K156" s="42"/>
      <c r="L156" s="42"/>
      <c r="M156" s="41"/>
      <c r="N156" s="43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J156" s="41"/>
      <c r="AM156" s="44"/>
    </row>
    <row r="157">
      <c r="B157" s="39"/>
      <c r="C157" s="40"/>
      <c r="E157" s="40"/>
      <c r="F157" s="40"/>
      <c r="G157" s="40"/>
      <c r="H157" s="40"/>
      <c r="I157" s="41"/>
      <c r="K157" s="42"/>
      <c r="L157" s="42"/>
      <c r="M157" s="41"/>
      <c r="N157" s="43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J157" s="41"/>
      <c r="AM157" s="44"/>
    </row>
    <row r="158">
      <c r="B158" s="39"/>
      <c r="C158" s="40"/>
      <c r="E158" s="40"/>
      <c r="F158" s="40"/>
      <c r="G158" s="40"/>
      <c r="H158" s="40"/>
      <c r="I158" s="41"/>
      <c r="K158" s="42"/>
      <c r="L158" s="42"/>
      <c r="M158" s="41"/>
      <c r="N158" s="43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J158" s="41"/>
      <c r="AM158" s="44"/>
    </row>
    <row r="159">
      <c r="B159" s="39"/>
      <c r="C159" s="40"/>
      <c r="E159" s="40"/>
      <c r="F159" s="40"/>
      <c r="G159" s="40"/>
      <c r="H159" s="40"/>
      <c r="I159" s="41"/>
      <c r="K159" s="42"/>
      <c r="L159" s="42"/>
      <c r="M159" s="41"/>
      <c r="N159" s="43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J159" s="41"/>
      <c r="AM159" s="44"/>
    </row>
    <row r="160">
      <c r="B160" s="39"/>
      <c r="C160" s="40"/>
      <c r="E160" s="40"/>
      <c r="F160" s="40"/>
      <c r="G160" s="40"/>
      <c r="H160" s="40"/>
      <c r="I160" s="41"/>
      <c r="K160" s="42"/>
      <c r="L160" s="42"/>
      <c r="M160" s="41"/>
      <c r="N160" s="43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J160" s="41"/>
      <c r="AM160" s="44"/>
    </row>
    <row r="161">
      <c r="B161" s="39"/>
      <c r="C161" s="40"/>
      <c r="E161" s="40"/>
      <c r="F161" s="40"/>
      <c r="G161" s="40"/>
      <c r="H161" s="40"/>
      <c r="I161" s="41"/>
      <c r="K161" s="42"/>
      <c r="L161" s="42"/>
      <c r="M161" s="41"/>
      <c r="N161" s="43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J161" s="41"/>
      <c r="AM161" s="44"/>
    </row>
    <row r="162">
      <c r="B162" s="39"/>
      <c r="C162" s="40"/>
      <c r="E162" s="40"/>
      <c r="F162" s="40"/>
      <c r="G162" s="40"/>
      <c r="H162" s="40"/>
      <c r="I162" s="41"/>
      <c r="K162" s="42"/>
      <c r="L162" s="42"/>
      <c r="M162" s="41"/>
      <c r="N162" s="43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J162" s="41"/>
      <c r="AM162" s="44"/>
    </row>
    <row r="163">
      <c r="B163" s="39"/>
      <c r="C163" s="40"/>
      <c r="E163" s="40"/>
      <c r="F163" s="40"/>
      <c r="G163" s="40"/>
      <c r="H163" s="40"/>
      <c r="I163" s="41"/>
      <c r="K163" s="42"/>
      <c r="L163" s="42"/>
      <c r="M163" s="41"/>
      <c r="N163" s="43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J163" s="41"/>
      <c r="AM163" s="44"/>
    </row>
    <row r="164">
      <c r="B164" s="39"/>
      <c r="C164" s="40"/>
      <c r="E164" s="40"/>
      <c r="F164" s="40"/>
      <c r="G164" s="40"/>
      <c r="H164" s="40"/>
      <c r="I164" s="41"/>
      <c r="K164" s="42"/>
      <c r="L164" s="42"/>
      <c r="M164" s="41"/>
      <c r="N164" s="43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J164" s="41"/>
      <c r="AM164" s="44"/>
    </row>
    <row r="165">
      <c r="B165" s="39"/>
      <c r="C165" s="40"/>
      <c r="E165" s="40"/>
      <c r="F165" s="40"/>
      <c r="G165" s="40"/>
      <c r="H165" s="40"/>
      <c r="I165" s="41"/>
      <c r="K165" s="42"/>
      <c r="L165" s="42"/>
      <c r="M165" s="41"/>
      <c r="N165" s="43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J165" s="41"/>
      <c r="AM165" s="44"/>
    </row>
    <row r="166">
      <c r="B166" s="39"/>
      <c r="C166" s="40"/>
      <c r="E166" s="40"/>
      <c r="F166" s="40"/>
      <c r="G166" s="40"/>
      <c r="H166" s="40"/>
      <c r="I166" s="41"/>
      <c r="K166" s="42"/>
      <c r="L166" s="42"/>
      <c r="M166" s="41"/>
      <c r="N166" s="43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J166" s="41"/>
      <c r="AM166" s="44"/>
    </row>
    <row r="167">
      <c r="B167" s="39"/>
      <c r="C167" s="40"/>
      <c r="E167" s="40"/>
      <c r="F167" s="40"/>
      <c r="G167" s="40"/>
      <c r="H167" s="40"/>
      <c r="I167" s="41"/>
      <c r="K167" s="42"/>
      <c r="L167" s="42"/>
      <c r="M167" s="41"/>
      <c r="N167" s="43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J167" s="41"/>
      <c r="AM167" s="44"/>
    </row>
    <row r="168">
      <c r="B168" s="39"/>
      <c r="C168" s="40"/>
      <c r="E168" s="40"/>
      <c r="F168" s="40"/>
      <c r="G168" s="40"/>
      <c r="H168" s="40"/>
      <c r="I168" s="41"/>
      <c r="K168" s="42"/>
      <c r="L168" s="42"/>
      <c r="M168" s="41"/>
      <c r="N168" s="43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J168" s="41"/>
      <c r="AM168" s="44"/>
    </row>
    <row r="169">
      <c r="B169" s="39"/>
      <c r="C169" s="40"/>
      <c r="E169" s="40"/>
      <c r="F169" s="40"/>
      <c r="G169" s="40"/>
      <c r="H169" s="40"/>
      <c r="I169" s="41"/>
      <c r="K169" s="42"/>
      <c r="L169" s="42"/>
      <c r="M169" s="41"/>
      <c r="N169" s="43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J169" s="41"/>
      <c r="AM169" s="44"/>
    </row>
    <row r="170">
      <c r="B170" s="39"/>
      <c r="C170" s="40"/>
      <c r="E170" s="40"/>
      <c r="F170" s="40"/>
      <c r="G170" s="40"/>
      <c r="H170" s="40"/>
      <c r="I170" s="41"/>
      <c r="K170" s="42"/>
      <c r="L170" s="42"/>
      <c r="M170" s="41"/>
      <c r="N170" s="43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J170" s="41"/>
      <c r="AM170" s="44"/>
    </row>
    <row r="171">
      <c r="B171" s="39"/>
      <c r="C171" s="40"/>
      <c r="E171" s="40"/>
      <c r="F171" s="40"/>
      <c r="G171" s="40"/>
      <c r="H171" s="40"/>
      <c r="I171" s="41"/>
      <c r="K171" s="42"/>
      <c r="L171" s="42"/>
      <c r="M171" s="41"/>
      <c r="N171" s="43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J171" s="41"/>
      <c r="AM171" s="44"/>
    </row>
    <row r="172">
      <c r="B172" s="39"/>
      <c r="C172" s="40"/>
      <c r="E172" s="40"/>
      <c r="F172" s="40"/>
      <c r="G172" s="40"/>
      <c r="H172" s="40"/>
      <c r="I172" s="41"/>
      <c r="K172" s="42"/>
      <c r="L172" s="42"/>
      <c r="M172" s="41"/>
      <c r="N172" s="43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J172" s="41"/>
      <c r="AM172" s="44"/>
    </row>
    <row r="173">
      <c r="B173" s="39"/>
      <c r="C173" s="40"/>
      <c r="E173" s="40"/>
      <c r="F173" s="40"/>
      <c r="G173" s="40"/>
      <c r="H173" s="40"/>
      <c r="I173" s="41"/>
      <c r="K173" s="42"/>
      <c r="L173" s="42"/>
      <c r="M173" s="41"/>
      <c r="N173" s="43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J173" s="41"/>
      <c r="AM173" s="44"/>
    </row>
    <row r="174">
      <c r="B174" s="39"/>
      <c r="C174" s="40"/>
      <c r="E174" s="40"/>
      <c r="F174" s="40"/>
      <c r="G174" s="40"/>
      <c r="H174" s="40"/>
      <c r="I174" s="41"/>
      <c r="K174" s="42"/>
      <c r="L174" s="42"/>
      <c r="M174" s="41"/>
      <c r="N174" s="43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J174" s="41"/>
      <c r="AM174" s="44"/>
    </row>
    <row r="175">
      <c r="B175" s="39"/>
      <c r="C175" s="40"/>
      <c r="E175" s="40"/>
      <c r="F175" s="40"/>
      <c r="G175" s="40"/>
      <c r="H175" s="40"/>
      <c r="I175" s="41"/>
      <c r="K175" s="42"/>
      <c r="L175" s="42"/>
      <c r="M175" s="41"/>
      <c r="N175" s="43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J175" s="41"/>
      <c r="AM175" s="44"/>
    </row>
    <row r="176">
      <c r="B176" s="39"/>
      <c r="C176" s="40"/>
      <c r="E176" s="40"/>
      <c r="F176" s="40"/>
      <c r="G176" s="40"/>
      <c r="H176" s="40"/>
      <c r="I176" s="41"/>
      <c r="K176" s="42"/>
      <c r="L176" s="42"/>
      <c r="M176" s="41"/>
      <c r="N176" s="43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J176" s="41"/>
      <c r="AM176" s="44"/>
    </row>
    <row r="177">
      <c r="B177" s="39"/>
      <c r="C177" s="40"/>
      <c r="E177" s="40"/>
      <c r="F177" s="40"/>
      <c r="G177" s="40"/>
      <c r="H177" s="40"/>
      <c r="I177" s="41"/>
      <c r="K177" s="42"/>
      <c r="L177" s="42"/>
      <c r="M177" s="41"/>
      <c r="N177" s="43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J177" s="41"/>
      <c r="AM177" s="44"/>
    </row>
    <row r="178">
      <c r="B178" s="39"/>
      <c r="C178" s="40"/>
      <c r="E178" s="40"/>
      <c r="F178" s="40"/>
      <c r="G178" s="40"/>
      <c r="H178" s="40"/>
      <c r="I178" s="41"/>
      <c r="K178" s="42"/>
      <c r="L178" s="42"/>
      <c r="M178" s="41"/>
      <c r="N178" s="43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J178" s="41"/>
      <c r="AM178" s="44"/>
    </row>
    <row r="179">
      <c r="B179" s="39"/>
      <c r="C179" s="40"/>
      <c r="E179" s="40"/>
      <c r="F179" s="40"/>
      <c r="G179" s="40"/>
      <c r="H179" s="40"/>
      <c r="I179" s="41"/>
      <c r="K179" s="42"/>
      <c r="L179" s="42"/>
      <c r="M179" s="41"/>
      <c r="N179" s="43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J179" s="41"/>
      <c r="AM179" s="44"/>
    </row>
    <row r="180">
      <c r="B180" s="39"/>
      <c r="C180" s="40"/>
      <c r="E180" s="40"/>
      <c r="F180" s="40"/>
      <c r="G180" s="40"/>
      <c r="H180" s="40"/>
      <c r="I180" s="41"/>
      <c r="K180" s="42"/>
      <c r="L180" s="42"/>
      <c r="M180" s="41"/>
      <c r="N180" s="43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J180" s="41"/>
      <c r="AM180" s="44"/>
    </row>
    <row r="181">
      <c r="B181" s="39"/>
      <c r="C181" s="40"/>
      <c r="E181" s="40"/>
      <c r="F181" s="40"/>
      <c r="G181" s="40"/>
      <c r="H181" s="40"/>
      <c r="I181" s="41"/>
      <c r="K181" s="42"/>
      <c r="L181" s="42"/>
      <c r="M181" s="41"/>
      <c r="N181" s="43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J181" s="41"/>
      <c r="AM181" s="44"/>
    </row>
    <row r="182">
      <c r="B182" s="39"/>
      <c r="C182" s="40"/>
      <c r="E182" s="40"/>
      <c r="F182" s="40"/>
      <c r="G182" s="40"/>
      <c r="H182" s="40"/>
      <c r="I182" s="41"/>
      <c r="K182" s="42"/>
      <c r="L182" s="42"/>
      <c r="M182" s="41"/>
      <c r="N182" s="43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J182" s="41"/>
      <c r="AM182" s="44"/>
    </row>
    <row r="183">
      <c r="B183" s="39"/>
      <c r="C183" s="40"/>
      <c r="E183" s="40"/>
      <c r="F183" s="40"/>
      <c r="G183" s="40"/>
      <c r="H183" s="40"/>
      <c r="I183" s="41"/>
      <c r="K183" s="42"/>
      <c r="L183" s="42"/>
      <c r="M183" s="41"/>
      <c r="N183" s="43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J183" s="41"/>
      <c r="AM183" s="44"/>
    </row>
    <row r="184">
      <c r="B184" s="39"/>
      <c r="C184" s="40"/>
      <c r="E184" s="40"/>
      <c r="F184" s="40"/>
      <c r="G184" s="40"/>
      <c r="H184" s="40"/>
      <c r="I184" s="41"/>
      <c r="K184" s="42"/>
      <c r="L184" s="42"/>
      <c r="M184" s="41"/>
      <c r="N184" s="43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J184" s="41"/>
      <c r="AM184" s="44"/>
    </row>
    <row r="185">
      <c r="B185" s="39"/>
      <c r="C185" s="40"/>
      <c r="E185" s="40"/>
      <c r="F185" s="40"/>
      <c r="G185" s="40"/>
      <c r="H185" s="40"/>
      <c r="I185" s="41"/>
      <c r="K185" s="42"/>
      <c r="L185" s="42"/>
      <c r="M185" s="41"/>
      <c r="N185" s="43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J185" s="41"/>
      <c r="AM185" s="44"/>
    </row>
    <row r="186">
      <c r="B186" s="39"/>
      <c r="C186" s="40"/>
      <c r="E186" s="40"/>
      <c r="F186" s="40"/>
      <c r="G186" s="40"/>
      <c r="H186" s="40"/>
      <c r="I186" s="41"/>
      <c r="K186" s="42"/>
      <c r="L186" s="42"/>
      <c r="M186" s="41"/>
      <c r="N186" s="43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J186" s="41"/>
      <c r="AM186" s="44"/>
    </row>
    <row r="187">
      <c r="B187" s="39"/>
      <c r="C187" s="40"/>
      <c r="E187" s="40"/>
      <c r="F187" s="40"/>
      <c r="G187" s="40"/>
      <c r="H187" s="40"/>
      <c r="I187" s="41"/>
      <c r="K187" s="42"/>
      <c r="L187" s="42"/>
      <c r="M187" s="41"/>
      <c r="N187" s="43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J187" s="41"/>
      <c r="AM187" s="44"/>
    </row>
    <row r="188">
      <c r="B188" s="39"/>
      <c r="C188" s="40"/>
      <c r="E188" s="40"/>
      <c r="F188" s="40"/>
      <c r="G188" s="40"/>
      <c r="H188" s="40"/>
      <c r="I188" s="41"/>
      <c r="K188" s="42"/>
      <c r="L188" s="42"/>
      <c r="M188" s="41"/>
      <c r="N188" s="43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J188" s="41"/>
      <c r="AM188" s="44"/>
    </row>
    <row r="189">
      <c r="B189" s="39"/>
      <c r="C189" s="40"/>
      <c r="E189" s="40"/>
      <c r="F189" s="40"/>
      <c r="G189" s="40"/>
      <c r="H189" s="40"/>
      <c r="I189" s="41"/>
      <c r="K189" s="42"/>
      <c r="L189" s="42"/>
      <c r="M189" s="41"/>
      <c r="N189" s="43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J189" s="41"/>
      <c r="AM189" s="44"/>
    </row>
    <row r="190">
      <c r="B190" s="39"/>
      <c r="C190" s="40"/>
      <c r="E190" s="40"/>
      <c r="F190" s="40"/>
      <c r="G190" s="40"/>
      <c r="H190" s="40"/>
      <c r="I190" s="41"/>
      <c r="K190" s="42"/>
      <c r="L190" s="42"/>
      <c r="M190" s="41"/>
      <c r="N190" s="43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J190" s="41"/>
      <c r="AM190" s="44"/>
    </row>
    <row r="191">
      <c r="B191" s="39"/>
      <c r="C191" s="40"/>
      <c r="E191" s="40"/>
      <c r="F191" s="40"/>
      <c r="G191" s="40"/>
      <c r="H191" s="40"/>
      <c r="I191" s="41"/>
      <c r="K191" s="42"/>
      <c r="L191" s="42"/>
      <c r="M191" s="41"/>
      <c r="N191" s="43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J191" s="41"/>
      <c r="AM191" s="44"/>
    </row>
    <row r="192">
      <c r="B192" s="39"/>
      <c r="C192" s="40"/>
      <c r="E192" s="40"/>
      <c r="F192" s="40"/>
      <c r="G192" s="40"/>
      <c r="H192" s="40"/>
      <c r="I192" s="41"/>
      <c r="K192" s="42"/>
      <c r="L192" s="42"/>
      <c r="M192" s="41"/>
      <c r="N192" s="43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J192" s="41"/>
      <c r="AM192" s="44"/>
    </row>
    <row r="193">
      <c r="B193" s="39"/>
      <c r="C193" s="40"/>
      <c r="E193" s="40"/>
      <c r="F193" s="40"/>
      <c r="G193" s="40"/>
      <c r="H193" s="40"/>
      <c r="I193" s="41"/>
      <c r="K193" s="42"/>
      <c r="L193" s="42"/>
      <c r="M193" s="41"/>
      <c r="N193" s="43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J193" s="41"/>
      <c r="AM193" s="44"/>
    </row>
    <row r="194">
      <c r="B194" s="39"/>
      <c r="C194" s="40"/>
      <c r="E194" s="40"/>
      <c r="F194" s="40"/>
      <c r="G194" s="40"/>
      <c r="H194" s="40"/>
      <c r="I194" s="41"/>
      <c r="K194" s="42"/>
      <c r="L194" s="42"/>
      <c r="M194" s="41"/>
      <c r="N194" s="43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J194" s="41"/>
      <c r="AM194" s="44"/>
    </row>
    <row r="195">
      <c r="B195" s="39"/>
      <c r="C195" s="40"/>
      <c r="E195" s="40"/>
      <c r="F195" s="40"/>
      <c r="G195" s="40"/>
      <c r="H195" s="40"/>
      <c r="I195" s="41"/>
      <c r="K195" s="42"/>
      <c r="L195" s="42"/>
      <c r="M195" s="41"/>
      <c r="N195" s="43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J195" s="41"/>
      <c r="AM195" s="44"/>
    </row>
    <row r="196">
      <c r="B196" s="39"/>
      <c r="C196" s="40"/>
      <c r="E196" s="40"/>
      <c r="F196" s="40"/>
      <c r="G196" s="40"/>
      <c r="H196" s="40"/>
      <c r="I196" s="41"/>
      <c r="K196" s="42"/>
      <c r="L196" s="42"/>
      <c r="M196" s="41"/>
      <c r="N196" s="43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J196" s="41"/>
      <c r="AM196" s="44"/>
    </row>
    <row r="197">
      <c r="B197" s="39"/>
      <c r="C197" s="40"/>
      <c r="E197" s="40"/>
      <c r="F197" s="40"/>
      <c r="G197" s="40"/>
      <c r="H197" s="40"/>
      <c r="I197" s="41"/>
      <c r="K197" s="42"/>
      <c r="L197" s="42"/>
      <c r="M197" s="41"/>
      <c r="N197" s="43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J197" s="41"/>
      <c r="AM197" s="44"/>
    </row>
    <row r="198">
      <c r="B198" s="39"/>
      <c r="C198" s="40"/>
      <c r="E198" s="40"/>
      <c r="F198" s="40"/>
      <c r="G198" s="40"/>
      <c r="H198" s="40"/>
      <c r="I198" s="41"/>
      <c r="K198" s="42"/>
      <c r="L198" s="42"/>
      <c r="M198" s="41"/>
      <c r="N198" s="43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J198" s="41"/>
      <c r="AM198" s="44"/>
    </row>
    <row r="199">
      <c r="B199" s="39"/>
      <c r="C199" s="40"/>
      <c r="E199" s="40"/>
      <c r="F199" s="40"/>
      <c r="G199" s="40"/>
      <c r="H199" s="40"/>
      <c r="I199" s="41"/>
      <c r="K199" s="42"/>
      <c r="L199" s="42"/>
      <c r="M199" s="41"/>
      <c r="N199" s="43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J199" s="41"/>
      <c r="AM199" s="44"/>
    </row>
    <row r="200">
      <c r="B200" s="39"/>
      <c r="C200" s="40"/>
      <c r="E200" s="40"/>
      <c r="F200" s="40"/>
      <c r="G200" s="40"/>
      <c r="H200" s="40"/>
      <c r="I200" s="41"/>
      <c r="K200" s="42"/>
      <c r="L200" s="42"/>
      <c r="M200" s="41"/>
      <c r="N200" s="43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J200" s="41"/>
      <c r="AM200" s="44"/>
    </row>
    <row r="201">
      <c r="B201" s="39"/>
      <c r="C201" s="40"/>
      <c r="E201" s="40"/>
      <c r="F201" s="40"/>
      <c r="G201" s="40"/>
      <c r="H201" s="40"/>
      <c r="I201" s="41"/>
      <c r="K201" s="42"/>
      <c r="L201" s="42"/>
      <c r="M201" s="41"/>
      <c r="N201" s="43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J201" s="41"/>
      <c r="AM201" s="44"/>
    </row>
    <row r="202">
      <c r="B202" s="39"/>
      <c r="C202" s="40"/>
      <c r="E202" s="40"/>
      <c r="F202" s="40"/>
      <c r="G202" s="40"/>
      <c r="H202" s="40"/>
      <c r="I202" s="41"/>
      <c r="K202" s="42"/>
      <c r="L202" s="42"/>
      <c r="M202" s="41"/>
      <c r="N202" s="43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J202" s="41"/>
      <c r="AM202" s="44"/>
    </row>
    <row r="203">
      <c r="B203" s="39"/>
      <c r="C203" s="40"/>
      <c r="E203" s="40"/>
      <c r="F203" s="40"/>
      <c r="G203" s="40"/>
      <c r="H203" s="40"/>
      <c r="I203" s="41"/>
      <c r="K203" s="42"/>
      <c r="L203" s="42"/>
      <c r="M203" s="41"/>
      <c r="N203" s="43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J203" s="41"/>
      <c r="AM203" s="44"/>
    </row>
    <row r="204">
      <c r="B204" s="39"/>
      <c r="C204" s="40"/>
      <c r="E204" s="40"/>
      <c r="F204" s="40"/>
      <c r="G204" s="40"/>
      <c r="H204" s="40"/>
      <c r="I204" s="41"/>
      <c r="K204" s="42"/>
      <c r="L204" s="42"/>
      <c r="M204" s="41"/>
      <c r="N204" s="43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J204" s="41"/>
      <c r="AM204" s="44"/>
    </row>
    <row r="205">
      <c r="B205" s="39"/>
      <c r="C205" s="40"/>
      <c r="E205" s="40"/>
      <c r="F205" s="40"/>
      <c r="G205" s="40"/>
      <c r="H205" s="40"/>
      <c r="I205" s="41"/>
      <c r="K205" s="42"/>
      <c r="L205" s="42"/>
      <c r="M205" s="41"/>
      <c r="N205" s="43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J205" s="41"/>
      <c r="AM205" s="44"/>
    </row>
    <row r="206">
      <c r="B206" s="39"/>
      <c r="C206" s="40"/>
      <c r="E206" s="40"/>
      <c r="F206" s="40"/>
      <c r="G206" s="40"/>
      <c r="H206" s="40"/>
      <c r="I206" s="41"/>
      <c r="K206" s="42"/>
      <c r="L206" s="42"/>
      <c r="M206" s="41"/>
      <c r="N206" s="43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J206" s="41"/>
      <c r="AM206" s="44"/>
    </row>
    <row r="207">
      <c r="B207" s="39"/>
      <c r="C207" s="40"/>
      <c r="E207" s="40"/>
      <c r="F207" s="40"/>
      <c r="G207" s="40"/>
      <c r="H207" s="40"/>
      <c r="I207" s="41"/>
      <c r="K207" s="42"/>
      <c r="L207" s="42"/>
      <c r="M207" s="41"/>
      <c r="N207" s="43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J207" s="41"/>
      <c r="AM207" s="44"/>
    </row>
    <row r="208">
      <c r="B208" s="39"/>
      <c r="C208" s="40"/>
      <c r="E208" s="40"/>
      <c r="F208" s="40"/>
      <c r="G208" s="40"/>
      <c r="H208" s="40"/>
      <c r="I208" s="41"/>
      <c r="K208" s="42"/>
      <c r="L208" s="42"/>
      <c r="M208" s="41"/>
      <c r="N208" s="43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J208" s="41"/>
      <c r="AM208" s="44"/>
    </row>
    <row r="209">
      <c r="B209" s="39"/>
      <c r="C209" s="40"/>
      <c r="E209" s="40"/>
      <c r="F209" s="40"/>
      <c r="G209" s="40"/>
      <c r="H209" s="40"/>
      <c r="I209" s="41"/>
      <c r="K209" s="42"/>
      <c r="L209" s="42"/>
      <c r="M209" s="41"/>
      <c r="N209" s="43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J209" s="41"/>
      <c r="AM209" s="44"/>
    </row>
    <row r="210">
      <c r="B210" s="39"/>
      <c r="C210" s="40"/>
      <c r="E210" s="40"/>
      <c r="F210" s="40"/>
      <c r="G210" s="40"/>
      <c r="H210" s="40"/>
      <c r="I210" s="41"/>
      <c r="K210" s="42"/>
      <c r="L210" s="42"/>
      <c r="M210" s="41"/>
      <c r="N210" s="43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J210" s="41"/>
      <c r="AM210" s="44"/>
    </row>
    <row r="211">
      <c r="B211" s="39"/>
      <c r="C211" s="40"/>
      <c r="E211" s="40"/>
      <c r="F211" s="40"/>
      <c r="G211" s="40"/>
      <c r="H211" s="40"/>
      <c r="I211" s="41"/>
      <c r="K211" s="42"/>
      <c r="L211" s="42"/>
      <c r="M211" s="41"/>
      <c r="N211" s="43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J211" s="41"/>
      <c r="AM211" s="44"/>
    </row>
    <row r="212">
      <c r="B212" s="39"/>
      <c r="C212" s="40"/>
      <c r="E212" s="40"/>
      <c r="F212" s="40"/>
      <c r="G212" s="40"/>
      <c r="H212" s="40"/>
      <c r="I212" s="41"/>
      <c r="K212" s="42"/>
      <c r="L212" s="42"/>
      <c r="M212" s="41"/>
      <c r="N212" s="43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J212" s="41"/>
      <c r="AM212" s="44"/>
    </row>
    <row r="213">
      <c r="B213" s="39"/>
      <c r="C213" s="40"/>
      <c r="E213" s="40"/>
      <c r="F213" s="40"/>
      <c r="G213" s="40"/>
      <c r="H213" s="40"/>
      <c r="I213" s="41"/>
      <c r="K213" s="42"/>
      <c r="L213" s="42"/>
      <c r="M213" s="41"/>
      <c r="N213" s="43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J213" s="41"/>
      <c r="AM213" s="44"/>
    </row>
    <row r="214">
      <c r="B214" s="39"/>
      <c r="C214" s="40"/>
      <c r="E214" s="40"/>
      <c r="F214" s="40"/>
      <c r="G214" s="40"/>
      <c r="H214" s="40"/>
      <c r="I214" s="41"/>
      <c r="K214" s="42"/>
      <c r="L214" s="42"/>
      <c r="M214" s="41"/>
      <c r="N214" s="43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J214" s="41"/>
      <c r="AM214" s="44"/>
    </row>
    <row r="215">
      <c r="B215" s="39"/>
      <c r="C215" s="40"/>
      <c r="E215" s="40"/>
      <c r="F215" s="40"/>
      <c r="G215" s="40"/>
      <c r="H215" s="40"/>
      <c r="I215" s="41"/>
      <c r="K215" s="42"/>
      <c r="L215" s="42"/>
      <c r="M215" s="41"/>
      <c r="N215" s="43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J215" s="41"/>
      <c r="AM215" s="44"/>
    </row>
    <row r="216">
      <c r="B216" s="39"/>
      <c r="C216" s="40"/>
      <c r="E216" s="40"/>
      <c r="F216" s="40"/>
      <c r="G216" s="40"/>
      <c r="H216" s="40"/>
      <c r="I216" s="41"/>
      <c r="K216" s="42"/>
      <c r="L216" s="42"/>
      <c r="M216" s="41"/>
      <c r="N216" s="43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J216" s="41"/>
      <c r="AM216" s="44"/>
    </row>
    <row r="217">
      <c r="B217" s="39"/>
      <c r="C217" s="40"/>
      <c r="E217" s="40"/>
      <c r="F217" s="40"/>
      <c r="G217" s="40"/>
      <c r="H217" s="40"/>
      <c r="I217" s="41"/>
      <c r="K217" s="42"/>
      <c r="L217" s="42"/>
      <c r="M217" s="41"/>
      <c r="N217" s="43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J217" s="41"/>
      <c r="AM217" s="44"/>
    </row>
    <row r="218">
      <c r="B218" s="39"/>
      <c r="C218" s="40"/>
      <c r="E218" s="40"/>
      <c r="F218" s="40"/>
      <c r="G218" s="40"/>
      <c r="H218" s="40"/>
      <c r="I218" s="41"/>
      <c r="K218" s="42"/>
      <c r="L218" s="42"/>
      <c r="M218" s="41"/>
      <c r="N218" s="43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J218" s="41"/>
      <c r="AM218" s="44"/>
    </row>
    <row r="219">
      <c r="B219" s="39"/>
      <c r="C219" s="40"/>
      <c r="E219" s="40"/>
      <c r="F219" s="40"/>
      <c r="G219" s="40"/>
      <c r="H219" s="40"/>
      <c r="I219" s="41"/>
      <c r="K219" s="42"/>
      <c r="L219" s="42"/>
      <c r="M219" s="41"/>
      <c r="N219" s="43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J219" s="41"/>
      <c r="AM219" s="44"/>
    </row>
    <row r="220">
      <c r="B220" s="39"/>
      <c r="C220" s="40"/>
      <c r="E220" s="40"/>
      <c r="F220" s="40"/>
      <c r="G220" s="40"/>
      <c r="H220" s="40"/>
      <c r="I220" s="41"/>
      <c r="K220" s="42"/>
      <c r="L220" s="42"/>
      <c r="M220" s="41"/>
      <c r="N220" s="43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J220" s="41"/>
      <c r="AM220" s="44"/>
    </row>
    <row r="221">
      <c r="B221" s="39"/>
      <c r="C221" s="40"/>
      <c r="E221" s="40"/>
      <c r="F221" s="40"/>
      <c r="G221" s="40"/>
      <c r="H221" s="40"/>
      <c r="I221" s="41"/>
      <c r="K221" s="42"/>
      <c r="L221" s="42"/>
      <c r="M221" s="41"/>
      <c r="N221" s="43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J221" s="41"/>
      <c r="AM221" s="44"/>
    </row>
    <row r="222">
      <c r="B222" s="39"/>
      <c r="C222" s="40"/>
      <c r="E222" s="40"/>
      <c r="F222" s="40"/>
      <c r="G222" s="40"/>
      <c r="H222" s="40"/>
      <c r="I222" s="41"/>
      <c r="K222" s="42"/>
      <c r="L222" s="42"/>
      <c r="M222" s="41"/>
      <c r="N222" s="43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J222" s="41"/>
      <c r="AM222" s="44"/>
    </row>
    <row r="223">
      <c r="B223" s="39"/>
      <c r="C223" s="40"/>
      <c r="E223" s="40"/>
      <c r="F223" s="40"/>
      <c r="G223" s="40"/>
      <c r="H223" s="40"/>
      <c r="I223" s="41"/>
      <c r="K223" s="42"/>
      <c r="L223" s="42"/>
      <c r="M223" s="41"/>
      <c r="N223" s="43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J223" s="41"/>
      <c r="AM223" s="44"/>
    </row>
    <row r="224">
      <c r="B224" s="39"/>
      <c r="C224" s="40"/>
      <c r="E224" s="40"/>
      <c r="F224" s="40"/>
      <c r="G224" s="40"/>
      <c r="H224" s="40"/>
      <c r="I224" s="41"/>
      <c r="K224" s="42"/>
      <c r="L224" s="42"/>
      <c r="M224" s="41"/>
      <c r="N224" s="43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J224" s="41"/>
      <c r="AM224" s="44"/>
    </row>
    <row r="225">
      <c r="B225" s="39"/>
      <c r="C225" s="40"/>
      <c r="E225" s="40"/>
      <c r="F225" s="40"/>
      <c r="G225" s="40"/>
      <c r="H225" s="40"/>
      <c r="I225" s="41"/>
      <c r="K225" s="42"/>
      <c r="L225" s="42"/>
      <c r="M225" s="41"/>
      <c r="N225" s="43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J225" s="41"/>
      <c r="AM225" s="44"/>
    </row>
    <row r="226">
      <c r="B226" s="39"/>
      <c r="C226" s="40"/>
      <c r="E226" s="40"/>
      <c r="F226" s="40"/>
      <c r="G226" s="40"/>
      <c r="H226" s="40"/>
      <c r="I226" s="41"/>
      <c r="K226" s="42"/>
      <c r="L226" s="42"/>
      <c r="M226" s="41"/>
      <c r="N226" s="43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J226" s="41"/>
      <c r="AM226" s="44"/>
    </row>
    <row r="227">
      <c r="B227" s="39"/>
      <c r="C227" s="40"/>
      <c r="E227" s="40"/>
      <c r="F227" s="40"/>
      <c r="G227" s="40"/>
      <c r="H227" s="40"/>
      <c r="I227" s="41"/>
      <c r="K227" s="42"/>
      <c r="L227" s="42"/>
      <c r="M227" s="41"/>
      <c r="N227" s="43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J227" s="41"/>
      <c r="AM227" s="44"/>
    </row>
    <row r="228">
      <c r="B228" s="39"/>
      <c r="C228" s="40"/>
      <c r="E228" s="40"/>
      <c r="F228" s="40"/>
      <c r="G228" s="40"/>
      <c r="H228" s="40"/>
      <c r="I228" s="41"/>
      <c r="K228" s="42"/>
      <c r="L228" s="42"/>
      <c r="M228" s="41"/>
      <c r="N228" s="43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J228" s="41"/>
      <c r="AM228" s="44"/>
    </row>
    <row r="229">
      <c r="B229" s="39"/>
      <c r="C229" s="40"/>
      <c r="E229" s="40"/>
      <c r="F229" s="40"/>
      <c r="G229" s="40"/>
      <c r="H229" s="40"/>
      <c r="I229" s="41"/>
      <c r="K229" s="42"/>
      <c r="L229" s="42"/>
      <c r="M229" s="41"/>
      <c r="N229" s="43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J229" s="41"/>
      <c r="AM229" s="44"/>
    </row>
    <row r="230">
      <c r="B230" s="39"/>
      <c r="C230" s="40"/>
      <c r="E230" s="40"/>
      <c r="F230" s="40"/>
      <c r="G230" s="40"/>
      <c r="H230" s="40"/>
      <c r="I230" s="41"/>
      <c r="K230" s="42"/>
      <c r="L230" s="42"/>
      <c r="M230" s="41"/>
      <c r="N230" s="43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J230" s="41"/>
      <c r="AM230" s="44"/>
    </row>
    <row r="231">
      <c r="B231" s="39"/>
      <c r="C231" s="40"/>
      <c r="E231" s="40"/>
      <c r="F231" s="40"/>
      <c r="G231" s="40"/>
      <c r="H231" s="40"/>
      <c r="I231" s="41"/>
      <c r="K231" s="42"/>
      <c r="L231" s="42"/>
      <c r="M231" s="41"/>
      <c r="N231" s="43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J231" s="41"/>
      <c r="AM231" s="44"/>
    </row>
    <row r="232">
      <c r="B232" s="39"/>
      <c r="C232" s="40"/>
      <c r="E232" s="40"/>
      <c r="F232" s="40"/>
      <c r="G232" s="40"/>
      <c r="H232" s="40"/>
      <c r="I232" s="41"/>
      <c r="K232" s="42"/>
      <c r="L232" s="42"/>
      <c r="M232" s="41"/>
      <c r="N232" s="43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J232" s="41"/>
      <c r="AM232" s="44"/>
    </row>
    <row r="233">
      <c r="B233" s="39"/>
      <c r="C233" s="40"/>
      <c r="E233" s="40"/>
      <c r="F233" s="40"/>
      <c r="G233" s="40"/>
      <c r="H233" s="40"/>
      <c r="I233" s="41"/>
      <c r="K233" s="42"/>
      <c r="L233" s="42"/>
      <c r="M233" s="41"/>
      <c r="N233" s="43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J233" s="41"/>
      <c r="AM233" s="44"/>
    </row>
    <row r="234">
      <c r="B234" s="39"/>
      <c r="C234" s="40"/>
      <c r="E234" s="40"/>
      <c r="F234" s="40"/>
      <c r="G234" s="40"/>
      <c r="H234" s="40"/>
      <c r="I234" s="41"/>
      <c r="K234" s="42"/>
      <c r="L234" s="42"/>
      <c r="M234" s="41"/>
      <c r="N234" s="43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J234" s="41"/>
      <c r="AM234" s="44"/>
    </row>
    <row r="235">
      <c r="B235" s="39"/>
      <c r="C235" s="40"/>
      <c r="E235" s="40"/>
      <c r="F235" s="40"/>
      <c r="G235" s="40"/>
      <c r="H235" s="40"/>
      <c r="I235" s="41"/>
      <c r="K235" s="42"/>
      <c r="L235" s="42"/>
      <c r="M235" s="41"/>
      <c r="N235" s="43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J235" s="41"/>
      <c r="AM235" s="44"/>
    </row>
    <row r="236">
      <c r="B236" s="39"/>
      <c r="C236" s="40"/>
      <c r="E236" s="40"/>
      <c r="F236" s="40"/>
      <c r="G236" s="40"/>
      <c r="H236" s="40"/>
      <c r="I236" s="41"/>
      <c r="K236" s="42"/>
      <c r="L236" s="42"/>
      <c r="M236" s="41"/>
      <c r="N236" s="43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J236" s="41"/>
      <c r="AM236" s="44"/>
    </row>
    <row r="237">
      <c r="B237" s="39"/>
      <c r="C237" s="40"/>
      <c r="E237" s="40"/>
      <c r="F237" s="40"/>
      <c r="G237" s="40"/>
      <c r="H237" s="40"/>
      <c r="I237" s="41"/>
      <c r="K237" s="42"/>
      <c r="L237" s="42"/>
      <c r="M237" s="41"/>
      <c r="N237" s="43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J237" s="41"/>
      <c r="AM237" s="44"/>
    </row>
    <row r="238">
      <c r="B238" s="39"/>
      <c r="C238" s="40"/>
      <c r="E238" s="40"/>
      <c r="F238" s="40"/>
      <c r="G238" s="40"/>
      <c r="H238" s="40"/>
      <c r="I238" s="41"/>
      <c r="K238" s="42"/>
      <c r="L238" s="42"/>
      <c r="M238" s="41"/>
      <c r="N238" s="43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J238" s="41"/>
      <c r="AM238" s="44"/>
    </row>
    <row r="239">
      <c r="B239" s="39"/>
      <c r="C239" s="40"/>
      <c r="E239" s="40"/>
      <c r="F239" s="40"/>
      <c r="G239" s="40"/>
      <c r="H239" s="40"/>
      <c r="I239" s="41"/>
      <c r="K239" s="42"/>
      <c r="L239" s="42"/>
      <c r="M239" s="41"/>
      <c r="N239" s="43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J239" s="41"/>
      <c r="AM239" s="44"/>
    </row>
    <row r="240">
      <c r="B240" s="39"/>
      <c r="C240" s="40"/>
      <c r="E240" s="40"/>
      <c r="F240" s="40"/>
      <c r="G240" s="40"/>
      <c r="H240" s="40"/>
      <c r="I240" s="41"/>
      <c r="K240" s="42"/>
      <c r="L240" s="42"/>
      <c r="M240" s="41"/>
      <c r="N240" s="43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J240" s="41"/>
      <c r="AM240" s="44"/>
    </row>
    <row r="241">
      <c r="B241" s="39"/>
      <c r="C241" s="40"/>
      <c r="E241" s="40"/>
      <c r="F241" s="40"/>
      <c r="G241" s="40"/>
      <c r="H241" s="40"/>
      <c r="I241" s="41"/>
      <c r="K241" s="42"/>
      <c r="L241" s="42"/>
      <c r="M241" s="41"/>
      <c r="N241" s="43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J241" s="41"/>
      <c r="AM241" s="44"/>
    </row>
    <row r="242">
      <c r="B242" s="39"/>
      <c r="C242" s="40"/>
      <c r="E242" s="40"/>
      <c r="F242" s="40"/>
      <c r="G242" s="40"/>
      <c r="H242" s="40"/>
      <c r="I242" s="41"/>
      <c r="K242" s="42"/>
      <c r="L242" s="42"/>
      <c r="M242" s="41"/>
      <c r="N242" s="43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J242" s="41"/>
      <c r="AM242" s="44"/>
    </row>
    <row r="243">
      <c r="B243" s="39"/>
      <c r="C243" s="40"/>
      <c r="E243" s="40"/>
      <c r="F243" s="40"/>
      <c r="G243" s="40"/>
      <c r="H243" s="40"/>
      <c r="I243" s="41"/>
      <c r="K243" s="42"/>
      <c r="L243" s="42"/>
      <c r="M243" s="41"/>
      <c r="N243" s="43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J243" s="41"/>
      <c r="AM243" s="44"/>
    </row>
    <row r="244">
      <c r="B244" s="39"/>
      <c r="C244" s="40"/>
      <c r="E244" s="40"/>
      <c r="F244" s="40"/>
      <c r="G244" s="40"/>
      <c r="H244" s="40"/>
      <c r="I244" s="41"/>
      <c r="K244" s="42"/>
      <c r="L244" s="42"/>
      <c r="M244" s="41"/>
      <c r="N244" s="43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J244" s="41"/>
      <c r="AM244" s="44"/>
    </row>
    <row r="245">
      <c r="B245" s="39"/>
      <c r="C245" s="40"/>
      <c r="E245" s="40"/>
      <c r="F245" s="40"/>
      <c r="G245" s="40"/>
      <c r="H245" s="40"/>
      <c r="I245" s="41"/>
      <c r="K245" s="42"/>
      <c r="L245" s="42"/>
      <c r="M245" s="41"/>
      <c r="N245" s="43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J245" s="41"/>
      <c r="AM245" s="44"/>
    </row>
    <row r="246">
      <c r="B246" s="39"/>
      <c r="C246" s="40"/>
      <c r="E246" s="40"/>
      <c r="F246" s="40"/>
      <c r="G246" s="40"/>
      <c r="H246" s="40"/>
      <c r="I246" s="41"/>
      <c r="K246" s="42"/>
      <c r="L246" s="42"/>
      <c r="M246" s="41"/>
      <c r="N246" s="43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J246" s="41"/>
      <c r="AM246" s="44"/>
    </row>
    <row r="247">
      <c r="B247" s="39"/>
      <c r="C247" s="40"/>
      <c r="E247" s="40"/>
      <c r="F247" s="40"/>
      <c r="G247" s="40"/>
      <c r="H247" s="40"/>
      <c r="I247" s="41"/>
      <c r="K247" s="42"/>
      <c r="L247" s="42"/>
      <c r="M247" s="41"/>
      <c r="N247" s="43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J247" s="41"/>
      <c r="AM247" s="44"/>
    </row>
    <row r="248">
      <c r="B248" s="39"/>
      <c r="C248" s="40"/>
      <c r="E248" s="40"/>
      <c r="F248" s="40"/>
      <c r="G248" s="40"/>
      <c r="H248" s="40"/>
      <c r="I248" s="41"/>
      <c r="K248" s="42"/>
      <c r="L248" s="42"/>
      <c r="M248" s="41"/>
      <c r="N248" s="43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J248" s="41"/>
      <c r="AM248" s="44"/>
    </row>
    <row r="249">
      <c r="B249" s="39"/>
      <c r="C249" s="40"/>
      <c r="E249" s="40"/>
      <c r="F249" s="40"/>
      <c r="G249" s="40"/>
      <c r="H249" s="40"/>
      <c r="I249" s="41"/>
      <c r="K249" s="42"/>
      <c r="L249" s="42"/>
      <c r="M249" s="41"/>
      <c r="N249" s="43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J249" s="41"/>
      <c r="AM249" s="44"/>
    </row>
    <row r="250">
      <c r="B250" s="39"/>
      <c r="C250" s="40"/>
      <c r="E250" s="40"/>
      <c r="F250" s="40"/>
      <c r="G250" s="40"/>
      <c r="H250" s="40"/>
      <c r="I250" s="41"/>
      <c r="K250" s="42"/>
      <c r="L250" s="42"/>
      <c r="M250" s="41"/>
      <c r="N250" s="43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J250" s="41"/>
      <c r="AM250" s="44"/>
    </row>
    <row r="251">
      <c r="B251" s="39"/>
      <c r="C251" s="40"/>
      <c r="E251" s="40"/>
      <c r="F251" s="40"/>
      <c r="G251" s="40"/>
      <c r="H251" s="40"/>
      <c r="I251" s="41"/>
      <c r="K251" s="42"/>
      <c r="L251" s="42"/>
      <c r="M251" s="41"/>
      <c r="N251" s="43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J251" s="41"/>
      <c r="AM251" s="44"/>
    </row>
    <row r="252">
      <c r="B252" s="39"/>
      <c r="C252" s="40"/>
      <c r="E252" s="40"/>
      <c r="F252" s="40"/>
      <c r="G252" s="40"/>
      <c r="H252" s="40"/>
      <c r="I252" s="41"/>
      <c r="K252" s="42"/>
      <c r="L252" s="42"/>
      <c r="M252" s="41"/>
      <c r="N252" s="43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J252" s="41"/>
      <c r="AM252" s="44"/>
    </row>
    <row r="253">
      <c r="B253" s="39"/>
      <c r="C253" s="40"/>
      <c r="E253" s="40"/>
      <c r="F253" s="40"/>
      <c r="G253" s="40"/>
      <c r="H253" s="40"/>
      <c r="I253" s="41"/>
      <c r="K253" s="42"/>
      <c r="L253" s="42"/>
      <c r="M253" s="41"/>
      <c r="N253" s="43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J253" s="41"/>
      <c r="AM253" s="44"/>
    </row>
    <row r="254">
      <c r="B254" s="39"/>
      <c r="C254" s="40"/>
      <c r="E254" s="40"/>
      <c r="F254" s="40"/>
      <c r="G254" s="40"/>
      <c r="H254" s="40"/>
      <c r="I254" s="41"/>
      <c r="K254" s="42"/>
      <c r="L254" s="42"/>
      <c r="M254" s="41"/>
      <c r="N254" s="43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J254" s="41"/>
      <c r="AM254" s="44"/>
    </row>
    <row r="255">
      <c r="B255" s="39"/>
      <c r="C255" s="40"/>
      <c r="E255" s="40"/>
      <c r="F255" s="40"/>
      <c r="G255" s="40"/>
      <c r="H255" s="40"/>
      <c r="I255" s="41"/>
      <c r="K255" s="42"/>
      <c r="L255" s="42"/>
      <c r="M255" s="41"/>
      <c r="N255" s="43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J255" s="41"/>
      <c r="AM255" s="44"/>
    </row>
    <row r="256">
      <c r="B256" s="39"/>
      <c r="C256" s="40"/>
      <c r="E256" s="40"/>
      <c r="F256" s="40"/>
      <c r="G256" s="40"/>
      <c r="H256" s="40"/>
      <c r="I256" s="41"/>
      <c r="K256" s="42"/>
      <c r="L256" s="42"/>
      <c r="M256" s="41"/>
      <c r="N256" s="43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J256" s="41"/>
      <c r="AM256" s="44"/>
    </row>
    <row r="257">
      <c r="B257" s="39"/>
      <c r="C257" s="40"/>
      <c r="E257" s="40"/>
      <c r="F257" s="40"/>
      <c r="G257" s="40"/>
      <c r="H257" s="40"/>
      <c r="I257" s="41"/>
      <c r="K257" s="42"/>
      <c r="L257" s="42"/>
      <c r="M257" s="41"/>
      <c r="N257" s="43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J257" s="41"/>
      <c r="AM257" s="44"/>
    </row>
    <row r="258">
      <c r="B258" s="39"/>
      <c r="C258" s="40"/>
      <c r="E258" s="40"/>
      <c r="F258" s="40"/>
      <c r="G258" s="40"/>
      <c r="H258" s="40"/>
      <c r="I258" s="41"/>
      <c r="K258" s="42"/>
      <c r="L258" s="42"/>
      <c r="M258" s="41"/>
      <c r="N258" s="43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J258" s="41"/>
      <c r="AM258" s="44"/>
    </row>
    <row r="259">
      <c r="B259" s="39"/>
      <c r="C259" s="40"/>
      <c r="E259" s="40"/>
      <c r="F259" s="40"/>
      <c r="G259" s="40"/>
      <c r="H259" s="40"/>
      <c r="I259" s="41"/>
      <c r="K259" s="42"/>
      <c r="L259" s="42"/>
      <c r="M259" s="41"/>
      <c r="N259" s="43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J259" s="41"/>
      <c r="AM259" s="44"/>
    </row>
    <row r="260">
      <c r="B260" s="39"/>
      <c r="C260" s="40"/>
      <c r="E260" s="40"/>
      <c r="F260" s="40"/>
      <c r="G260" s="40"/>
      <c r="H260" s="40"/>
      <c r="I260" s="41"/>
      <c r="K260" s="42"/>
      <c r="L260" s="42"/>
      <c r="M260" s="41"/>
      <c r="N260" s="43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J260" s="41"/>
      <c r="AM260" s="44"/>
    </row>
    <row r="261">
      <c r="B261" s="39"/>
      <c r="C261" s="40"/>
      <c r="E261" s="40"/>
      <c r="F261" s="40"/>
      <c r="G261" s="40"/>
      <c r="H261" s="40"/>
      <c r="I261" s="41"/>
      <c r="K261" s="42"/>
      <c r="L261" s="42"/>
      <c r="M261" s="41"/>
      <c r="N261" s="43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J261" s="41"/>
      <c r="AM261" s="44"/>
    </row>
    <row r="262">
      <c r="B262" s="39"/>
      <c r="C262" s="40"/>
      <c r="E262" s="40"/>
      <c r="F262" s="40"/>
      <c r="G262" s="40"/>
      <c r="H262" s="40"/>
      <c r="I262" s="41"/>
      <c r="K262" s="42"/>
      <c r="L262" s="42"/>
      <c r="M262" s="41"/>
      <c r="N262" s="43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J262" s="41"/>
      <c r="AM262" s="44"/>
    </row>
    <row r="263">
      <c r="B263" s="39"/>
      <c r="C263" s="40"/>
      <c r="E263" s="40"/>
      <c r="F263" s="40"/>
      <c r="G263" s="40"/>
      <c r="H263" s="40"/>
      <c r="I263" s="41"/>
      <c r="K263" s="42"/>
      <c r="L263" s="42"/>
      <c r="M263" s="41"/>
      <c r="N263" s="43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J263" s="41"/>
      <c r="AM263" s="44"/>
    </row>
    <row r="264">
      <c r="B264" s="39"/>
      <c r="C264" s="40"/>
      <c r="E264" s="40"/>
      <c r="F264" s="40"/>
      <c r="G264" s="40"/>
      <c r="H264" s="40"/>
      <c r="I264" s="41"/>
      <c r="K264" s="42"/>
      <c r="L264" s="42"/>
      <c r="M264" s="41"/>
      <c r="N264" s="43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J264" s="41"/>
      <c r="AM264" s="44"/>
    </row>
    <row r="265">
      <c r="B265" s="39"/>
      <c r="C265" s="40"/>
      <c r="E265" s="40"/>
      <c r="F265" s="40"/>
      <c r="G265" s="40"/>
      <c r="H265" s="40"/>
      <c r="I265" s="41"/>
      <c r="K265" s="42"/>
      <c r="L265" s="42"/>
      <c r="M265" s="41"/>
      <c r="N265" s="43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J265" s="41"/>
      <c r="AM265" s="44"/>
    </row>
    <row r="266">
      <c r="B266" s="39"/>
      <c r="C266" s="40"/>
      <c r="E266" s="40"/>
      <c r="F266" s="40"/>
      <c r="G266" s="40"/>
      <c r="H266" s="40"/>
      <c r="I266" s="41"/>
      <c r="K266" s="42"/>
      <c r="L266" s="42"/>
      <c r="M266" s="41"/>
      <c r="N266" s="43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J266" s="41"/>
      <c r="AM266" s="44"/>
    </row>
    <row r="267">
      <c r="B267" s="39"/>
      <c r="C267" s="40"/>
      <c r="E267" s="40"/>
      <c r="F267" s="40"/>
      <c r="G267" s="40"/>
      <c r="H267" s="40"/>
      <c r="I267" s="41"/>
      <c r="K267" s="42"/>
      <c r="L267" s="42"/>
      <c r="M267" s="41"/>
      <c r="N267" s="43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J267" s="41"/>
      <c r="AM267" s="44"/>
    </row>
    <row r="268">
      <c r="B268" s="39"/>
      <c r="C268" s="40"/>
      <c r="E268" s="40"/>
      <c r="F268" s="40"/>
      <c r="G268" s="40"/>
      <c r="H268" s="40"/>
      <c r="I268" s="41"/>
      <c r="K268" s="42"/>
      <c r="L268" s="42"/>
      <c r="M268" s="41"/>
      <c r="N268" s="43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J268" s="41"/>
      <c r="AM268" s="44"/>
    </row>
    <row r="269">
      <c r="B269" s="39"/>
      <c r="C269" s="40"/>
      <c r="E269" s="40"/>
      <c r="F269" s="40"/>
      <c r="G269" s="40"/>
      <c r="H269" s="40"/>
      <c r="I269" s="41"/>
      <c r="K269" s="42"/>
      <c r="L269" s="42"/>
      <c r="M269" s="41"/>
      <c r="N269" s="43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J269" s="41"/>
      <c r="AM269" s="44"/>
    </row>
    <row r="270">
      <c r="B270" s="39"/>
      <c r="C270" s="40"/>
      <c r="E270" s="40"/>
      <c r="F270" s="40"/>
      <c r="G270" s="40"/>
      <c r="H270" s="40"/>
      <c r="I270" s="41"/>
      <c r="K270" s="42"/>
      <c r="L270" s="42"/>
      <c r="M270" s="41"/>
      <c r="N270" s="43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J270" s="41"/>
      <c r="AM270" s="44"/>
    </row>
    <row r="271">
      <c r="B271" s="39"/>
      <c r="C271" s="40"/>
      <c r="E271" s="40"/>
      <c r="F271" s="40"/>
      <c r="G271" s="40"/>
      <c r="H271" s="40"/>
      <c r="I271" s="41"/>
      <c r="K271" s="42"/>
      <c r="L271" s="42"/>
      <c r="M271" s="41"/>
      <c r="N271" s="43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J271" s="41"/>
      <c r="AM271" s="44"/>
    </row>
    <row r="272">
      <c r="B272" s="39"/>
      <c r="C272" s="40"/>
      <c r="E272" s="40"/>
      <c r="F272" s="40"/>
      <c r="G272" s="40"/>
      <c r="H272" s="40"/>
      <c r="I272" s="41"/>
      <c r="K272" s="42"/>
      <c r="L272" s="42"/>
      <c r="M272" s="41"/>
      <c r="N272" s="43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J272" s="41"/>
      <c r="AM272" s="44"/>
    </row>
    <row r="273">
      <c r="B273" s="39"/>
      <c r="C273" s="40"/>
      <c r="E273" s="40"/>
      <c r="F273" s="40"/>
      <c r="G273" s="40"/>
      <c r="H273" s="40"/>
      <c r="I273" s="41"/>
      <c r="K273" s="42"/>
      <c r="L273" s="42"/>
      <c r="M273" s="41"/>
      <c r="N273" s="43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J273" s="41"/>
      <c r="AM273" s="44"/>
    </row>
    <row r="274">
      <c r="B274" s="39"/>
      <c r="C274" s="40"/>
      <c r="E274" s="40"/>
      <c r="F274" s="40"/>
      <c r="G274" s="40"/>
      <c r="H274" s="40"/>
      <c r="I274" s="41"/>
      <c r="K274" s="42"/>
      <c r="L274" s="42"/>
      <c r="M274" s="41"/>
      <c r="N274" s="43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J274" s="41"/>
      <c r="AM274" s="44"/>
    </row>
    <row r="275">
      <c r="B275" s="39"/>
      <c r="C275" s="40"/>
      <c r="E275" s="40"/>
      <c r="F275" s="40"/>
      <c r="G275" s="40"/>
      <c r="H275" s="40"/>
      <c r="I275" s="41"/>
      <c r="K275" s="42"/>
      <c r="L275" s="42"/>
      <c r="M275" s="41"/>
      <c r="N275" s="43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J275" s="41"/>
      <c r="AM275" s="44"/>
    </row>
    <row r="276">
      <c r="B276" s="39"/>
      <c r="C276" s="40"/>
      <c r="E276" s="40"/>
      <c r="F276" s="40"/>
      <c r="G276" s="40"/>
      <c r="H276" s="40"/>
      <c r="I276" s="41"/>
      <c r="K276" s="42"/>
      <c r="L276" s="42"/>
      <c r="M276" s="41"/>
      <c r="N276" s="43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J276" s="41"/>
      <c r="AM276" s="44"/>
    </row>
    <row r="277">
      <c r="B277" s="39"/>
      <c r="C277" s="40"/>
      <c r="E277" s="40"/>
      <c r="F277" s="40"/>
      <c r="G277" s="40"/>
      <c r="H277" s="40"/>
      <c r="I277" s="41"/>
      <c r="K277" s="42"/>
      <c r="L277" s="42"/>
      <c r="M277" s="41"/>
      <c r="N277" s="43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J277" s="41"/>
      <c r="AM277" s="44"/>
    </row>
    <row r="278">
      <c r="B278" s="39"/>
      <c r="C278" s="40"/>
      <c r="E278" s="40"/>
      <c r="F278" s="40"/>
      <c r="G278" s="40"/>
      <c r="H278" s="40"/>
      <c r="I278" s="41"/>
      <c r="K278" s="42"/>
      <c r="L278" s="42"/>
      <c r="M278" s="41"/>
      <c r="N278" s="43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J278" s="41"/>
      <c r="AM278" s="44"/>
    </row>
    <row r="279">
      <c r="B279" s="39"/>
      <c r="C279" s="40"/>
      <c r="E279" s="40"/>
      <c r="F279" s="40"/>
      <c r="G279" s="40"/>
      <c r="H279" s="40"/>
      <c r="I279" s="41"/>
      <c r="K279" s="42"/>
      <c r="L279" s="42"/>
      <c r="M279" s="41"/>
      <c r="N279" s="43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J279" s="41"/>
      <c r="AM279" s="44"/>
    </row>
    <row r="280">
      <c r="B280" s="39"/>
      <c r="C280" s="40"/>
      <c r="E280" s="40"/>
      <c r="F280" s="40"/>
      <c r="G280" s="40"/>
      <c r="H280" s="40"/>
      <c r="I280" s="41"/>
      <c r="K280" s="42"/>
      <c r="L280" s="42"/>
      <c r="M280" s="41"/>
      <c r="N280" s="43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J280" s="41"/>
      <c r="AM280" s="44"/>
    </row>
    <row r="281">
      <c r="B281" s="39"/>
      <c r="C281" s="40"/>
      <c r="E281" s="40"/>
      <c r="F281" s="40"/>
      <c r="G281" s="40"/>
      <c r="H281" s="40"/>
      <c r="I281" s="41"/>
      <c r="K281" s="42"/>
      <c r="L281" s="42"/>
      <c r="M281" s="41"/>
      <c r="N281" s="43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J281" s="41"/>
      <c r="AM281" s="44"/>
    </row>
    <row r="282">
      <c r="B282" s="39"/>
      <c r="C282" s="40"/>
      <c r="E282" s="40"/>
      <c r="F282" s="40"/>
      <c r="G282" s="40"/>
      <c r="H282" s="40"/>
      <c r="I282" s="41"/>
      <c r="K282" s="42"/>
      <c r="L282" s="42"/>
      <c r="M282" s="41"/>
      <c r="N282" s="43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J282" s="41"/>
      <c r="AM282" s="44"/>
    </row>
    <row r="283">
      <c r="B283" s="39"/>
      <c r="C283" s="40"/>
      <c r="E283" s="40"/>
      <c r="F283" s="40"/>
      <c r="G283" s="40"/>
      <c r="H283" s="40"/>
      <c r="I283" s="41"/>
      <c r="K283" s="42"/>
      <c r="L283" s="42"/>
      <c r="M283" s="41"/>
      <c r="N283" s="43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J283" s="41"/>
      <c r="AM283" s="44"/>
    </row>
    <row r="284">
      <c r="B284" s="39"/>
      <c r="C284" s="40"/>
      <c r="E284" s="40"/>
      <c r="F284" s="40"/>
      <c r="G284" s="40"/>
      <c r="H284" s="40"/>
      <c r="I284" s="41"/>
      <c r="K284" s="42"/>
      <c r="L284" s="42"/>
      <c r="M284" s="41"/>
      <c r="N284" s="43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J284" s="41"/>
      <c r="AM284" s="44"/>
    </row>
    <row r="285">
      <c r="B285" s="39"/>
      <c r="C285" s="40"/>
      <c r="E285" s="40"/>
      <c r="F285" s="40"/>
      <c r="G285" s="40"/>
      <c r="H285" s="40"/>
      <c r="I285" s="41"/>
      <c r="K285" s="42"/>
      <c r="L285" s="42"/>
      <c r="M285" s="41"/>
      <c r="N285" s="43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J285" s="41"/>
      <c r="AM285" s="44"/>
    </row>
    <row r="286">
      <c r="B286" s="39"/>
      <c r="C286" s="40"/>
      <c r="E286" s="40"/>
      <c r="F286" s="40"/>
      <c r="G286" s="40"/>
      <c r="H286" s="40"/>
      <c r="I286" s="41"/>
      <c r="K286" s="42"/>
      <c r="L286" s="42"/>
      <c r="M286" s="41"/>
      <c r="N286" s="43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J286" s="41"/>
      <c r="AM286" s="44"/>
    </row>
    <row r="287">
      <c r="B287" s="39"/>
      <c r="C287" s="40"/>
      <c r="E287" s="40"/>
      <c r="F287" s="40"/>
      <c r="G287" s="40"/>
      <c r="H287" s="40"/>
      <c r="I287" s="41"/>
      <c r="K287" s="42"/>
      <c r="L287" s="42"/>
      <c r="M287" s="41"/>
      <c r="N287" s="43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J287" s="41"/>
      <c r="AM287" s="44"/>
    </row>
    <row r="288">
      <c r="B288" s="39"/>
      <c r="C288" s="40"/>
      <c r="E288" s="40"/>
      <c r="F288" s="40"/>
      <c r="G288" s="40"/>
      <c r="H288" s="40"/>
      <c r="I288" s="41"/>
      <c r="K288" s="42"/>
      <c r="L288" s="42"/>
      <c r="M288" s="41"/>
      <c r="N288" s="43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J288" s="41"/>
      <c r="AM288" s="44"/>
    </row>
    <row r="289">
      <c r="B289" s="39"/>
      <c r="C289" s="40"/>
      <c r="E289" s="40"/>
      <c r="F289" s="40"/>
      <c r="G289" s="40"/>
      <c r="H289" s="40"/>
      <c r="I289" s="41"/>
      <c r="K289" s="42"/>
      <c r="L289" s="42"/>
      <c r="M289" s="41"/>
      <c r="N289" s="43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J289" s="41"/>
      <c r="AM289" s="44"/>
    </row>
    <row r="290">
      <c r="B290" s="39"/>
      <c r="C290" s="40"/>
      <c r="E290" s="40"/>
      <c r="F290" s="40"/>
      <c r="G290" s="40"/>
      <c r="H290" s="40"/>
      <c r="I290" s="41"/>
      <c r="K290" s="42"/>
      <c r="L290" s="42"/>
      <c r="M290" s="41"/>
      <c r="N290" s="43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J290" s="41"/>
      <c r="AM290" s="44"/>
    </row>
    <row r="291">
      <c r="B291" s="39"/>
      <c r="C291" s="40"/>
      <c r="E291" s="40"/>
      <c r="F291" s="40"/>
      <c r="G291" s="40"/>
      <c r="H291" s="40"/>
      <c r="I291" s="41"/>
      <c r="K291" s="42"/>
      <c r="L291" s="42"/>
      <c r="M291" s="41"/>
      <c r="N291" s="43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J291" s="41"/>
      <c r="AM291" s="44"/>
    </row>
    <row r="292">
      <c r="B292" s="39"/>
      <c r="C292" s="40"/>
      <c r="E292" s="40"/>
      <c r="F292" s="40"/>
      <c r="G292" s="40"/>
      <c r="H292" s="40"/>
      <c r="I292" s="41"/>
      <c r="K292" s="42"/>
      <c r="L292" s="42"/>
      <c r="M292" s="41"/>
      <c r="N292" s="43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J292" s="41"/>
      <c r="AM292" s="44"/>
    </row>
    <row r="293">
      <c r="B293" s="39"/>
      <c r="C293" s="40"/>
      <c r="E293" s="40"/>
      <c r="F293" s="40"/>
      <c r="G293" s="40"/>
      <c r="H293" s="40"/>
      <c r="I293" s="41"/>
      <c r="K293" s="42"/>
      <c r="L293" s="42"/>
      <c r="M293" s="41"/>
      <c r="N293" s="43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J293" s="41"/>
      <c r="AM293" s="44"/>
    </row>
    <row r="294">
      <c r="B294" s="39"/>
      <c r="C294" s="40"/>
      <c r="E294" s="40"/>
      <c r="F294" s="40"/>
      <c r="G294" s="40"/>
      <c r="H294" s="40"/>
      <c r="I294" s="41"/>
      <c r="K294" s="42"/>
      <c r="L294" s="42"/>
      <c r="M294" s="41"/>
      <c r="N294" s="43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J294" s="41"/>
      <c r="AM294" s="44"/>
    </row>
    <row r="295">
      <c r="B295" s="39"/>
      <c r="C295" s="40"/>
      <c r="E295" s="40"/>
      <c r="F295" s="40"/>
      <c r="G295" s="40"/>
      <c r="H295" s="40"/>
      <c r="I295" s="41"/>
      <c r="K295" s="42"/>
      <c r="L295" s="42"/>
      <c r="M295" s="41"/>
      <c r="N295" s="43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J295" s="41"/>
      <c r="AM295" s="44"/>
    </row>
    <row r="296">
      <c r="B296" s="39"/>
      <c r="C296" s="40"/>
      <c r="E296" s="40"/>
      <c r="F296" s="40"/>
      <c r="G296" s="40"/>
      <c r="H296" s="40"/>
      <c r="I296" s="41"/>
      <c r="K296" s="42"/>
      <c r="L296" s="42"/>
      <c r="M296" s="41"/>
      <c r="N296" s="43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J296" s="41"/>
      <c r="AM296" s="44"/>
    </row>
    <row r="297">
      <c r="B297" s="39"/>
      <c r="C297" s="40"/>
      <c r="E297" s="40"/>
      <c r="F297" s="40"/>
      <c r="G297" s="40"/>
      <c r="H297" s="40"/>
      <c r="I297" s="41"/>
      <c r="K297" s="42"/>
      <c r="L297" s="42"/>
      <c r="M297" s="41"/>
      <c r="N297" s="43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J297" s="41"/>
      <c r="AM297" s="44"/>
    </row>
    <row r="298">
      <c r="B298" s="39"/>
      <c r="C298" s="40"/>
      <c r="E298" s="40"/>
      <c r="F298" s="40"/>
      <c r="G298" s="40"/>
      <c r="H298" s="40"/>
      <c r="I298" s="41"/>
      <c r="K298" s="42"/>
      <c r="L298" s="42"/>
      <c r="M298" s="41"/>
      <c r="N298" s="43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J298" s="41"/>
      <c r="AM298" s="44"/>
    </row>
    <row r="299">
      <c r="B299" s="39"/>
      <c r="C299" s="40"/>
      <c r="E299" s="40"/>
      <c r="F299" s="40"/>
      <c r="G299" s="40"/>
      <c r="H299" s="40"/>
      <c r="I299" s="41"/>
      <c r="K299" s="42"/>
      <c r="L299" s="42"/>
      <c r="M299" s="41"/>
      <c r="N299" s="43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J299" s="41"/>
      <c r="AM299" s="44"/>
    </row>
    <row r="300">
      <c r="B300" s="39"/>
      <c r="C300" s="40"/>
      <c r="E300" s="40"/>
      <c r="F300" s="40"/>
      <c r="G300" s="40"/>
      <c r="H300" s="40"/>
      <c r="I300" s="41"/>
      <c r="K300" s="42"/>
      <c r="L300" s="42"/>
      <c r="M300" s="41"/>
      <c r="N300" s="43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J300" s="41"/>
      <c r="AM300" s="44"/>
    </row>
    <row r="301">
      <c r="B301" s="39"/>
      <c r="C301" s="40"/>
      <c r="E301" s="40"/>
      <c r="F301" s="40"/>
      <c r="G301" s="40"/>
      <c r="H301" s="40"/>
      <c r="I301" s="41"/>
      <c r="K301" s="42"/>
      <c r="L301" s="42"/>
      <c r="M301" s="41"/>
      <c r="N301" s="43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J301" s="41"/>
      <c r="AM301" s="44"/>
    </row>
    <row r="302">
      <c r="B302" s="39"/>
      <c r="C302" s="40"/>
      <c r="E302" s="40"/>
      <c r="F302" s="40"/>
      <c r="G302" s="40"/>
      <c r="H302" s="40"/>
      <c r="I302" s="41"/>
      <c r="K302" s="42"/>
      <c r="L302" s="42"/>
      <c r="M302" s="41"/>
      <c r="N302" s="43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J302" s="41"/>
      <c r="AM302" s="44"/>
    </row>
    <row r="303">
      <c r="B303" s="39"/>
      <c r="C303" s="40"/>
      <c r="E303" s="40"/>
      <c r="F303" s="40"/>
      <c r="G303" s="40"/>
      <c r="H303" s="40"/>
      <c r="I303" s="41"/>
      <c r="K303" s="42"/>
      <c r="L303" s="42"/>
      <c r="M303" s="41"/>
      <c r="N303" s="43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J303" s="41"/>
      <c r="AM303" s="44"/>
    </row>
    <row r="304">
      <c r="B304" s="39"/>
      <c r="C304" s="40"/>
      <c r="E304" s="40"/>
      <c r="F304" s="40"/>
      <c r="G304" s="40"/>
      <c r="H304" s="40"/>
      <c r="I304" s="41"/>
      <c r="K304" s="42"/>
      <c r="L304" s="42"/>
      <c r="M304" s="41"/>
      <c r="N304" s="43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J304" s="41"/>
      <c r="AM304" s="44"/>
    </row>
    <row r="305">
      <c r="B305" s="39"/>
      <c r="C305" s="40"/>
      <c r="E305" s="40"/>
      <c r="F305" s="40"/>
      <c r="G305" s="40"/>
      <c r="H305" s="40"/>
      <c r="I305" s="41"/>
      <c r="K305" s="42"/>
      <c r="L305" s="42"/>
      <c r="M305" s="41"/>
      <c r="N305" s="43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J305" s="41"/>
      <c r="AM305" s="44"/>
    </row>
    <row r="306">
      <c r="B306" s="39"/>
      <c r="C306" s="40"/>
      <c r="E306" s="40"/>
      <c r="F306" s="40"/>
      <c r="G306" s="40"/>
      <c r="H306" s="40"/>
      <c r="I306" s="41"/>
      <c r="K306" s="42"/>
      <c r="L306" s="42"/>
      <c r="M306" s="41"/>
      <c r="N306" s="43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J306" s="41"/>
      <c r="AM306" s="44"/>
    </row>
    <row r="307">
      <c r="B307" s="39"/>
      <c r="C307" s="40"/>
      <c r="E307" s="40"/>
      <c r="F307" s="40"/>
      <c r="G307" s="40"/>
      <c r="H307" s="40"/>
      <c r="I307" s="41"/>
      <c r="K307" s="42"/>
      <c r="L307" s="42"/>
      <c r="M307" s="41"/>
      <c r="N307" s="43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J307" s="41"/>
      <c r="AM307" s="44"/>
    </row>
    <row r="308">
      <c r="B308" s="39"/>
      <c r="C308" s="40"/>
      <c r="E308" s="40"/>
      <c r="F308" s="40"/>
      <c r="G308" s="40"/>
      <c r="H308" s="40"/>
      <c r="I308" s="41"/>
      <c r="K308" s="42"/>
      <c r="L308" s="42"/>
      <c r="M308" s="41"/>
      <c r="N308" s="43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J308" s="41"/>
      <c r="AM308" s="44"/>
    </row>
    <row r="309">
      <c r="B309" s="39"/>
      <c r="C309" s="40"/>
      <c r="E309" s="40"/>
      <c r="F309" s="40"/>
      <c r="G309" s="40"/>
      <c r="H309" s="40"/>
      <c r="I309" s="41"/>
      <c r="K309" s="42"/>
      <c r="L309" s="42"/>
      <c r="M309" s="41"/>
      <c r="N309" s="43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J309" s="41"/>
      <c r="AM309" s="44"/>
    </row>
    <row r="310">
      <c r="B310" s="39"/>
      <c r="C310" s="40"/>
      <c r="E310" s="40"/>
      <c r="F310" s="40"/>
      <c r="G310" s="40"/>
      <c r="H310" s="40"/>
      <c r="I310" s="41"/>
      <c r="K310" s="42"/>
      <c r="L310" s="42"/>
      <c r="M310" s="41"/>
      <c r="N310" s="43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J310" s="41"/>
      <c r="AM310" s="44"/>
    </row>
    <row r="311">
      <c r="B311" s="39"/>
      <c r="C311" s="40"/>
      <c r="E311" s="40"/>
      <c r="F311" s="40"/>
      <c r="G311" s="40"/>
      <c r="H311" s="40"/>
      <c r="I311" s="41"/>
      <c r="K311" s="42"/>
      <c r="L311" s="42"/>
      <c r="M311" s="41"/>
      <c r="N311" s="43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J311" s="41"/>
      <c r="AM311" s="44"/>
    </row>
    <row r="312">
      <c r="B312" s="39"/>
      <c r="C312" s="40"/>
      <c r="E312" s="40"/>
      <c r="F312" s="40"/>
      <c r="G312" s="40"/>
      <c r="H312" s="40"/>
      <c r="I312" s="41"/>
      <c r="K312" s="42"/>
      <c r="L312" s="42"/>
      <c r="M312" s="41"/>
      <c r="N312" s="43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J312" s="41"/>
      <c r="AM312" s="44"/>
    </row>
    <row r="313">
      <c r="B313" s="39"/>
      <c r="C313" s="40"/>
      <c r="E313" s="40"/>
      <c r="F313" s="40"/>
      <c r="G313" s="40"/>
      <c r="H313" s="40"/>
      <c r="I313" s="41"/>
      <c r="K313" s="42"/>
      <c r="L313" s="42"/>
      <c r="M313" s="41"/>
      <c r="N313" s="43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J313" s="41"/>
      <c r="AM313" s="44"/>
    </row>
    <row r="314">
      <c r="B314" s="39"/>
      <c r="C314" s="40"/>
      <c r="E314" s="40"/>
      <c r="F314" s="40"/>
      <c r="G314" s="40"/>
      <c r="H314" s="40"/>
      <c r="I314" s="41"/>
      <c r="K314" s="42"/>
      <c r="L314" s="42"/>
      <c r="M314" s="41"/>
      <c r="N314" s="43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J314" s="41"/>
      <c r="AM314" s="44"/>
    </row>
    <row r="315">
      <c r="B315" s="39"/>
      <c r="C315" s="40"/>
      <c r="E315" s="40"/>
      <c r="F315" s="40"/>
      <c r="G315" s="40"/>
      <c r="H315" s="40"/>
      <c r="I315" s="41"/>
      <c r="K315" s="42"/>
      <c r="L315" s="42"/>
      <c r="M315" s="41"/>
      <c r="N315" s="43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J315" s="41"/>
      <c r="AM315" s="44"/>
    </row>
    <row r="316">
      <c r="B316" s="39"/>
      <c r="C316" s="40"/>
      <c r="E316" s="40"/>
      <c r="F316" s="40"/>
      <c r="G316" s="40"/>
      <c r="H316" s="40"/>
      <c r="I316" s="41"/>
      <c r="K316" s="42"/>
      <c r="L316" s="42"/>
      <c r="M316" s="41"/>
      <c r="N316" s="43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J316" s="41"/>
      <c r="AM316" s="44"/>
    </row>
    <row r="317">
      <c r="B317" s="39"/>
      <c r="C317" s="40"/>
      <c r="E317" s="40"/>
      <c r="F317" s="40"/>
      <c r="G317" s="40"/>
      <c r="H317" s="40"/>
      <c r="I317" s="41"/>
      <c r="K317" s="42"/>
      <c r="L317" s="42"/>
      <c r="M317" s="41"/>
      <c r="N317" s="43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J317" s="41"/>
      <c r="AM317" s="44"/>
    </row>
    <row r="318">
      <c r="B318" s="39"/>
      <c r="C318" s="40"/>
      <c r="E318" s="40"/>
      <c r="F318" s="40"/>
      <c r="G318" s="40"/>
      <c r="H318" s="40"/>
      <c r="I318" s="41"/>
      <c r="K318" s="42"/>
      <c r="L318" s="42"/>
      <c r="M318" s="41"/>
      <c r="N318" s="43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J318" s="41"/>
      <c r="AM318" s="44"/>
    </row>
    <row r="319">
      <c r="B319" s="39"/>
      <c r="C319" s="40"/>
      <c r="E319" s="40"/>
      <c r="F319" s="40"/>
      <c r="G319" s="40"/>
      <c r="H319" s="40"/>
      <c r="I319" s="41"/>
      <c r="K319" s="42"/>
      <c r="L319" s="42"/>
      <c r="M319" s="41"/>
      <c r="N319" s="43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J319" s="41"/>
      <c r="AM319" s="44"/>
    </row>
    <row r="320">
      <c r="B320" s="39"/>
      <c r="C320" s="40"/>
      <c r="E320" s="40"/>
      <c r="F320" s="40"/>
      <c r="G320" s="40"/>
      <c r="H320" s="40"/>
      <c r="I320" s="41"/>
      <c r="K320" s="42"/>
      <c r="L320" s="42"/>
      <c r="M320" s="41"/>
      <c r="N320" s="43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J320" s="41"/>
      <c r="AM320" s="44"/>
    </row>
    <row r="321">
      <c r="B321" s="39"/>
      <c r="C321" s="40"/>
      <c r="E321" s="40"/>
      <c r="F321" s="40"/>
      <c r="G321" s="40"/>
      <c r="H321" s="40"/>
      <c r="I321" s="41"/>
      <c r="K321" s="42"/>
      <c r="L321" s="42"/>
      <c r="M321" s="41"/>
      <c r="N321" s="43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J321" s="41"/>
      <c r="AM321" s="44"/>
    </row>
    <row r="322">
      <c r="B322" s="39"/>
      <c r="C322" s="40"/>
      <c r="E322" s="40"/>
      <c r="F322" s="40"/>
      <c r="G322" s="40"/>
      <c r="H322" s="40"/>
      <c r="I322" s="41"/>
      <c r="K322" s="42"/>
      <c r="L322" s="42"/>
      <c r="M322" s="41"/>
      <c r="N322" s="43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J322" s="41"/>
      <c r="AM322" s="44"/>
    </row>
    <row r="323">
      <c r="B323" s="39"/>
      <c r="C323" s="40"/>
      <c r="E323" s="40"/>
      <c r="F323" s="40"/>
      <c r="G323" s="40"/>
      <c r="H323" s="40"/>
      <c r="I323" s="41"/>
      <c r="K323" s="42"/>
      <c r="L323" s="42"/>
      <c r="M323" s="41"/>
      <c r="N323" s="43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J323" s="41"/>
      <c r="AM323" s="44"/>
    </row>
    <row r="324">
      <c r="B324" s="39"/>
      <c r="C324" s="40"/>
      <c r="E324" s="40"/>
      <c r="F324" s="40"/>
      <c r="G324" s="40"/>
      <c r="H324" s="40"/>
      <c r="I324" s="41"/>
      <c r="K324" s="42"/>
      <c r="L324" s="42"/>
      <c r="M324" s="41"/>
      <c r="N324" s="43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J324" s="41"/>
      <c r="AM324" s="44"/>
    </row>
    <row r="325">
      <c r="B325" s="39"/>
      <c r="C325" s="40"/>
      <c r="E325" s="40"/>
      <c r="F325" s="40"/>
      <c r="G325" s="40"/>
      <c r="H325" s="40"/>
      <c r="I325" s="41"/>
      <c r="K325" s="42"/>
      <c r="L325" s="42"/>
      <c r="M325" s="41"/>
      <c r="N325" s="43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J325" s="41"/>
      <c r="AM325" s="44"/>
    </row>
    <row r="326">
      <c r="B326" s="39"/>
      <c r="C326" s="40"/>
      <c r="E326" s="40"/>
      <c r="F326" s="40"/>
      <c r="G326" s="40"/>
      <c r="H326" s="40"/>
      <c r="I326" s="41"/>
      <c r="K326" s="42"/>
      <c r="L326" s="42"/>
      <c r="M326" s="41"/>
      <c r="N326" s="43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J326" s="41"/>
      <c r="AM326" s="44"/>
    </row>
    <row r="327">
      <c r="B327" s="39"/>
      <c r="C327" s="40"/>
      <c r="E327" s="40"/>
      <c r="F327" s="40"/>
      <c r="G327" s="40"/>
      <c r="H327" s="40"/>
      <c r="I327" s="41"/>
      <c r="K327" s="42"/>
      <c r="L327" s="42"/>
      <c r="M327" s="41"/>
      <c r="N327" s="43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J327" s="41"/>
      <c r="AM327" s="44"/>
    </row>
    <row r="328">
      <c r="B328" s="39"/>
      <c r="C328" s="40"/>
      <c r="E328" s="40"/>
      <c r="F328" s="40"/>
      <c r="G328" s="40"/>
      <c r="H328" s="40"/>
      <c r="I328" s="41"/>
      <c r="K328" s="42"/>
      <c r="L328" s="42"/>
      <c r="M328" s="41"/>
      <c r="N328" s="43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J328" s="41"/>
      <c r="AM328" s="44"/>
    </row>
    <row r="329">
      <c r="B329" s="39"/>
      <c r="C329" s="40"/>
      <c r="E329" s="40"/>
      <c r="F329" s="40"/>
      <c r="G329" s="40"/>
      <c r="H329" s="40"/>
      <c r="I329" s="41"/>
      <c r="K329" s="42"/>
      <c r="L329" s="42"/>
      <c r="M329" s="41"/>
      <c r="N329" s="43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J329" s="41"/>
      <c r="AM329" s="44"/>
    </row>
    <row r="330">
      <c r="B330" s="39"/>
      <c r="C330" s="40"/>
      <c r="E330" s="40"/>
      <c r="F330" s="40"/>
      <c r="G330" s="40"/>
      <c r="H330" s="40"/>
      <c r="I330" s="41"/>
      <c r="K330" s="42"/>
      <c r="L330" s="42"/>
      <c r="M330" s="41"/>
      <c r="N330" s="43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J330" s="41"/>
      <c r="AM330" s="44"/>
    </row>
    <row r="331">
      <c r="B331" s="39"/>
      <c r="C331" s="40"/>
      <c r="E331" s="40"/>
      <c r="F331" s="40"/>
      <c r="G331" s="40"/>
      <c r="H331" s="40"/>
      <c r="I331" s="41"/>
      <c r="K331" s="42"/>
      <c r="L331" s="42"/>
      <c r="M331" s="41"/>
      <c r="N331" s="43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J331" s="41"/>
      <c r="AM331" s="44"/>
    </row>
    <row r="332">
      <c r="B332" s="39"/>
      <c r="C332" s="40"/>
      <c r="E332" s="40"/>
      <c r="F332" s="40"/>
      <c r="G332" s="40"/>
      <c r="H332" s="40"/>
      <c r="I332" s="41"/>
      <c r="K332" s="42"/>
      <c r="L332" s="42"/>
      <c r="M332" s="41"/>
      <c r="N332" s="43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J332" s="41"/>
      <c r="AM332" s="44"/>
    </row>
    <row r="333">
      <c r="B333" s="39"/>
      <c r="C333" s="40"/>
      <c r="E333" s="40"/>
      <c r="F333" s="40"/>
      <c r="G333" s="40"/>
      <c r="H333" s="40"/>
      <c r="I333" s="41"/>
      <c r="K333" s="42"/>
      <c r="L333" s="42"/>
      <c r="M333" s="41"/>
      <c r="N333" s="43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J333" s="41"/>
      <c r="AM333" s="44"/>
    </row>
    <row r="334">
      <c r="B334" s="39"/>
      <c r="C334" s="40"/>
      <c r="E334" s="40"/>
      <c r="F334" s="40"/>
      <c r="G334" s="40"/>
      <c r="H334" s="40"/>
      <c r="I334" s="41"/>
      <c r="K334" s="42"/>
      <c r="L334" s="42"/>
      <c r="M334" s="41"/>
      <c r="N334" s="43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J334" s="41"/>
      <c r="AM334" s="44"/>
    </row>
    <row r="335">
      <c r="B335" s="39"/>
      <c r="C335" s="40"/>
      <c r="E335" s="40"/>
      <c r="F335" s="40"/>
      <c r="G335" s="40"/>
      <c r="H335" s="40"/>
      <c r="I335" s="41"/>
      <c r="K335" s="42"/>
      <c r="L335" s="42"/>
      <c r="M335" s="41"/>
      <c r="N335" s="43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J335" s="41"/>
      <c r="AM335" s="44"/>
    </row>
    <row r="336">
      <c r="B336" s="39"/>
      <c r="C336" s="40"/>
      <c r="E336" s="40"/>
      <c r="F336" s="40"/>
      <c r="G336" s="40"/>
      <c r="H336" s="40"/>
      <c r="I336" s="41"/>
      <c r="K336" s="42"/>
      <c r="L336" s="42"/>
      <c r="M336" s="41"/>
      <c r="N336" s="43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J336" s="41"/>
      <c r="AM336" s="44"/>
    </row>
    <row r="337">
      <c r="B337" s="39"/>
      <c r="C337" s="40"/>
      <c r="E337" s="40"/>
      <c r="F337" s="40"/>
      <c r="G337" s="40"/>
      <c r="H337" s="40"/>
      <c r="I337" s="41"/>
      <c r="K337" s="42"/>
      <c r="L337" s="42"/>
      <c r="M337" s="41"/>
      <c r="N337" s="43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J337" s="41"/>
      <c r="AM337" s="44"/>
    </row>
    <row r="338">
      <c r="B338" s="39"/>
      <c r="C338" s="40"/>
      <c r="E338" s="40"/>
      <c r="F338" s="40"/>
      <c r="G338" s="40"/>
      <c r="H338" s="40"/>
      <c r="I338" s="41"/>
      <c r="K338" s="42"/>
      <c r="L338" s="42"/>
      <c r="M338" s="41"/>
      <c r="N338" s="43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J338" s="41"/>
      <c r="AM338" s="44"/>
    </row>
    <row r="339">
      <c r="B339" s="39"/>
      <c r="C339" s="40"/>
      <c r="E339" s="40"/>
      <c r="F339" s="40"/>
      <c r="G339" s="40"/>
      <c r="H339" s="40"/>
      <c r="I339" s="41"/>
      <c r="K339" s="42"/>
      <c r="L339" s="42"/>
      <c r="M339" s="41"/>
      <c r="N339" s="43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J339" s="41"/>
      <c r="AM339" s="44"/>
    </row>
    <row r="340">
      <c r="B340" s="39"/>
      <c r="C340" s="40"/>
      <c r="E340" s="40"/>
      <c r="F340" s="40"/>
      <c r="G340" s="40"/>
      <c r="H340" s="40"/>
      <c r="I340" s="41"/>
      <c r="K340" s="42"/>
      <c r="L340" s="42"/>
      <c r="M340" s="41"/>
      <c r="N340" s="43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J340" s="41"/>
      <c r="AM340" s="44"/>
    </row>
    <row r="341">
      <c r="B341" s="39"/>
      <c r="C341" s="40"/>
      <c r="E341" s="40"/>
      <c r="F341" s="40"/>
      <c r="G341" s="40"/>
      <c r="H341" s="40"/>
      <c r="I341" s="41"/>
      <c r="K341" s="42"/>
      <c r="L341" s="42"/>
      <c r="M341" s="41"/>
      <c r="N341" s="43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J341" s="41"/>
      <c r="AM341" s="44"/>
    </row>
    <row r="342">
      <c r="B342" s="39"/>
      <c r="C342" s="40"/>
      <c r="E342" s="40"/>
      <c r="F342" s="40"/>
      <c r="G342" s="40"/>
      <c r="H342" s="40"/>
      <c r="I342" s="41"/>
      <c r="K342" s="42"/>
      <c r="L342" s="42"/>
      <c r="M342" s="41"/>
      <c r="N342" s="43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J342" s="41"/>
      <c r="AM342" s="44"/>
    </row>
    <row r="343">
      <c r="B343" s="39"/>
      <c r="C343" s="40"/>
      <c r="E343" s="40"/>
      <c r="F343" s="40"/>
      <c r="G343" s="40"/>
      <c r="H343" s="40"/>
      <c r="I343" s="41"/>
      <c r="K343" s="42"/>
      <c r="L343" s="42"/>
      <c r="M343" s="41"/>
      <c r="N343" s="43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J343" s="41"/>
      <c r="AM343" s="44"/>
    </row>
    <row r="344">
      <c r="B344" s="39"/>
      <c r="C344" s="40"/>
      <c r="E344" s="40"/>
      <c r="F344" s="40"/>
      <c r="G344" s="40"/>
      <c r="H344" s="40"/>
      <c r="I344" s="41"/>
      <c r="K344" s="42"/>
      <c r="L344" s="42"/>
      <c r="M344" s="41"/>
      <c r="N344" s="43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J344" s="41"/>
      <c r="AM344" s="44"/>
    </row>
    <row r="345">
      <c r="B345" s="39"/>
      <c r="C345" s="40"/>
      <c r="E345" s="40"/>
      <c r="F345" s="40"/>
      <c r="G345" s="40"/>
      <c r="H345" s="40"/>
      <c r="I345" s="41"/>
      <c r="K345" s="42"/>
      <c r="L345" s="42"/>
      <c r="M345" s="41"/>
      <c r="N345" s="43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J345" s="41"/>
      <c r="AM345" s="44"/>
    </row>
    <row r="346">
      <c r="B346" s="39"/>
      <c r="C346" s="40"/>
      <c r="E346" s="40"/>
      <c r="F346" s="40"/>
      <c r="G346" s="40"/>
      <c r="H346" s="40"/>
      <c r="I346" s="41"/>
      <c r="K346" s="42"/>
      <c r="L346" s="42"/>
      <c r="M346" s="41"/>
      <c r="N346" s="43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J346" s="41"/>
      <c r="AM346" s="44"/>
    </row>
    <row r="347">
      <c r="B347" s="39"/>
      <c r="C347" s="40"/>
      <c r="E347" s="40"/>
      <c r="F347" s="40"/>
      <c r="G347" s="40"/>
      <c r="H347" s="40"/>
      <c r="I347" s="41"/>
      <c r="K347" s="42"/>
      <c r="L347" s="42"/>
      <c r="M347" s="41"/>
      <c r="N347" s="43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J347" s="41"/>
      <c r="AM347" s="44"/>
    </row>
    <row r="348">
      <c r="B348" s="39"/>
      <c r="C348" s="40"/>
      <c r="E348" s="40"/>
      <c r="F348" s="40"/>
      <c r="G348" s="40"/>
      <c r="H348" s="40"/>
      <c r="I348" s="41"/>
      <c r="K348" s="42"/>
      <c r="L348" s="42"/>
      <c r="M348" s="41"/>
      <c r="N348" s="43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J348" s="41"/>
      <c r="AM348" s="44"/>
    </row>
    <row r="349">
      <c r="B349" s="39"/>
      <c r="C349" s="40"/>
      <c r="E349" s="40"/>
      <c r="F349" s="40"/>
      <c r="G349" s="40"/>
      <c r="H349" s="40"/>
      <c r="I349" s="41"/>
      <c r="K349" s="42"/>
      <c r="L349" s="42"/>
      <c r="M349" s="41"/>
      <c r="N349" s="43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J349" s="41"/>
      <c r="AM349" s="44"/>
    </row>
    <row r="350">
      <c r="B350" s="39"/>
      <c r="C350" s="40"/>
      <c r="E350" s="40"/>
      <c r="F350" s="40"/>
      <c r="G350" s="40"/>
      <c r="H350" s="40"/>
      <c r="I350" s="41"/>
      <c r="K350" s="42"/>
      <c r="L350" s="42"/>
      <c r="M350" s="41"/>
      <c r="N350" s="43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J350" s="41"/>
      <c r="AM350" s="44"/>
    </row>
    <row r="351">
      <c r="B351" s="39"/>
      <c r="C351" s="40"/>
      <c r="E351" s="40"/>
      <c r="F351" s="40"/>
      <c r="G351" s="40"/>
      <c r="H351" s="40"/>
      <c r="I351" s="41"/>
      <c r="K351" s="42"/>
      <c r="L351" s="42"/>
      <c r="M351" s="41"/>
      <c r="N351" s="43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J351" s="41"/>
      <c r="AM351" s="44"/>
    </row>
    <row r="352">
      <c r="B352" s="39"/>
      <c r="C352" s="40"/>
      <c r="E352" s="40"/>
      <c r="F352" s="40"/>
      <c r="G352" s="40"/>
      <c r="H352" s="40"/>
      <c r="I352" s="41"/>
      <c r="K352" s="42"/>
      <c r="L352" s="42"/>
      <c r="M352" s="41"/>
      <c r="N352" s="43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J352" s="41"/>
      <c r="AM352" s="44"/>
    </row>
    <row r="353">
      <c r="B353" s="39"/>
      <c r="C353" s="40"/>
      <c r="E353" s="40"/>
      <c r="F353" s="40"/>
      <c r="G353" s="40"/>
      <c r="H353" s="40"/>
      <c r="I353" s="41"/>
      <c r="K353" s="42"/>
      <c r="L353" s="42"/>
      <c r="M353" s="41"/>
      <c r="N353" s="43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J353" s="41"/>
      <c r="AM353" s="44"/>
    </row>
    <row r="354">
      <c r="B354" s="39"/>
      <c r="C354" s="40"/>
      <c r="E354" s="40"/>
      <c r="F354" s="40"/>
      <c r="G354" s="40"/>
      <c r="H354" s="40"/>
      <c r="I354" s="41"/>
      <c r="K354" s="42"/>
      <c r="L354" s="42"/>
      <c r="M354" s="41"/>
      <c r="N354" s="43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J354" s="41"/>
      <c r="AM354" s="44"/>
    </row>
    <row r="355">
      <c r="B355" s="39"/>
      <c r="C355" s="40"/>
      <c r="E355" s="40"/>
      <c r="F355" s="40"/>
      <c r="G355" s="40"/>
      <c r="H355" s="40"/>
      <c r="I355" s="41"/>
      <c r="K355" s="42"/>
      <c r="L355" s="42"/>
      <c r="M355" s="41"/>
      <c r="N355" s="43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J355" s="41"/>
      <c r="AM355" s="44"/>
    </row>
    <row r="356">
      <c r="B356" s="39"/>
      <c r="C356" s="40"/>
      <c r="E356" s="40"/>
      <c r="F356" s="40"/>
      <c r="G356" s="40"/>
      <c r="H356" s="40"/>
      <c r="I356" s="41"/>
      <c r="K356" s="42"/>
      <c r="L356" s="42"/>
      <c r="M356" s="41"/>
      <c r="N356" s="43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J356" s="41"/>
      <c r="AM356" s="44"/>
    </row>
    <row r="357">
      <c r="B357" s="39"/>
      <c r="C357" s="40"/>
      <c r="E357" s="40"/>
      <c r="F357" s="40"/>
      <c r="G357" s="40"/>
      <c r="H357" s="40"/>
      <c r="I357" s="41"/>
      <c r="K357" s="42"/>
      <c r="L357" s="42"/>
      <c r="M357" s="41"/>
      <c r="N357" s="43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J357" s="41"/>
      <c r="AM357" s="44"/>
    </row>
    <row r="358">
      <c r="B358" s="39"/>
      <c r="C358" s="40"/>
      <c r="E358" s="40"/>
      <c r="F358" s="40"/>
      <c r="G358" s="40"/>
      <c r="H358" s="40"/>
      <c r="I358" s="41"/>
      <c r="K358" s="42"/>
      <c r="L358" s="42"/>
      <c r="M358" s="41"/>
      <c r="N358" s="43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J358" s="41"/>
      <c r="AM358" s="44"/>
    </row>
    <row r="359">
      <c r="B359" s="39"/>
      <c r="C359" s="40"/>
      <c r="E359" s="40"/>
      <c r="F359" s="40"/>
      <c r="G359" s="40"/>
      <c r="H359" s="40"/>
      <c r="I359" s="41"/>
      <c r="K359" s="42"/>
      <c r="L359" s="42"/>
      <c r="M359" s="41"/>
      <c r="N359" s="43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J359" s="41"/>
      <c r="AM359" s="44"/>
    </row>
    <row r="360">
      <c r="B360" s="39"/>
      <c r="C360" s="40"/>
      <c r="E360" s="40"/>
      <c r="F360" s="40"/>
      <c r="G360" s="40"/>
      <c r="H360" s="40"/>
      <c r="I360" s="41"/>
      <c r="K360" s="42"/>
      <c r="L360" s="42"/>
      <c r="M360" s="41"/>
      <c r="N360" s="43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J360" s="41"/>
      <c r="AM360" s="44"/>
    </row>
    <row r="361">
      <c r="B361" s="39"/>
      <c r="C361" s="40"/>
      <c r="E361" s="40"/>
      <c r="F361" s="40"/>
      <c r="G361" s="40"/>
      <c r="H361" s="40"/>
      <c r="I361" s="41"/>
      <c r="K361" s="42"/>
      <c r="L361" s="42"/>
      <c r="M361" s="41"/>
      <c r="N361" s="43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J361" s="41"/>
      <c r="AM361" s="44"/>
    </row>
    <row r="362">
      <c r="B362" s="39"/>
      <c r="C362" s="40"/>
      <c r="E362" s="40"/>
      <c r="F362" s="40"/>
      <c r="G362" s="40"/>
      <c r="H362" s="40"/>
      <c r="I362" s="41"/>
      <c r="K362" s="42"/>
      <c r="L362" s="42"/>
      <c r="M362" s="41"/>
      <c r="N362" s="43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J362" s="41"/>
      <c r="AM362" s="44"/>
    </row>
    <row r="363">
      <c r="B363" s="39"/>
      <c r="C363" s="40"/>
      <c r="E363" s="40"/>
      <c r="F363" s="40"/>
      <c r="G363" s="40"/>
      <c r="H363" s="40"/>
      <c r="I363" s="41"/>
      <c r="K363" s="42"/>
      <c r="L363" s="42"/>
      <c r="M363" s="41"/>
      <c r="N363" s="43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J363" s="41"/>
      <c r="AM363" s="44"/>
    </row>
    <row r="364">
      <c r="B364" s="39"/>
      <c r="C364" s="40"/>
      <c r="E364" s="40"/>
      <c r="F364" s="40"/>
      <c r="G364" s="40"/>
      <c r="H364" s="40"/>
      <c r="I364" s="41"/>
      <c r="K364" s="42"/>
      <c r="L364" s="42"/>
      <c r="M364" s="41"/>
      <c r="N364" s="43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J364" s="41"/>
      <c r="AM364" s="44"/>
    </row>
    <row r="365">
      <c r="B365" s="39"/>
      <c r="C365" s="40"/>
      <c r="E365" s="40"/>
      <c r="F365" s="40"/>
      <c r="G365" s="40"/>
      <c r="H365" s="40"/>
      <c r="I365" s="41"/>
      <c r="K365" s="42"/>
      <c r="L365" s="42"/>
      <c r="M365" s="41"/>
      <c r="N365" s="43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J365" s="41"/>
      <c r="AM365" s="44"/>
    </row>
    <row r="366">
      <c r="B366" s="39"/>
      <c r="C366" s="40"/>
      <c r="E366" s="40"/>
      <c r="F366" s="40"/>
      <c r="G366" s="40"/>
      <c r="H366" s="40"/>
      <c r="I366" s="41"/>
      <c r="K366" s="42"/>
      <c r="L366" s="42"/>
      <c r="M366" s="41"/>
      <c r="N366" s="43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J366" s="41"/>
      <c r="AM366" s="44"/>
    </row>
    <row r="367">
      <c r="B367" s="39"/>
      <c r="C367" s="40"/>
      <c r="E367" s="40"/>
      <c r="F367" s="40"/>
      <c r="G367" s="40"/>
      <c r="H367" s="40"/>
      <c r="I367" s="41"/>
      <c r="K367" s="42"/>
      <c r="L367" s="42"/>
      <c r="M367" s="41"/>
      <c r="N367" s="43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J367" s="41"/>
      <c r="AM367" s="44"/>
    </row>
    <row r="368">
      <c r="B368" s="39"/>
      <c r="C368" s="40"/>
      <c r="E368" s="40"/>
      <c r="F368" s="40"/>
      <c r="G368" s="40"/>
      <c r="H368" s="40"/>
      <c r="I368" s="41"/>
      <c r="K368" s="42"/>
      <c r="L368" s="42"/>
      <c r="M368" s="41"/>
      <c r="N368" s="43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J368" s="41"/>
      <c r="AM368" s="44"/>
    </row>
    <row r="369">
      <c r="B369" s="39"/>
      <c r="C369" s="40"/>
      <c r="E369" s="40"/>
      <c r="F369" s="40"/>
      <c r="G369" s="40"/>
      <c r="H369" s="40"/>
      <c r="I369" s="41"/>
      <c r="K369" s="42"/>
      <c r="L369" s="42"/>
      <c r="M369" s="41"/>
      <c r="N369" s="43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J369" s="41"/>
      <c r="AM369" s="44"/>
    </row>
    <row r="370">
      <c r="B370" s="39"/>
      <c r="C370" s="40"/>
      <c r="E370" s="40"/>
      <c r="F370" s="40"/>
      <c r="G370" s="40"/>
      <c r="H370" s="40"/>
      <c r="I370" s="41"/>
      <c r="K370" s="42"/>
      <c r="L370" s="42"/>
      <c r="M370" s="41"/>
      <c r="N370" s="43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J370" s="41"/>
      <c r="AM370" s="44"/>
    </row>
    <row r="371">
      <c r="B371" s="39"/>
      <c r="C371" s="40"/>
      <c r="E371" s="40"/>
      <c r="F371" s="40"/>
      <c r="G371" s="40"/>
      <c r="H371" s="40"/>
      <c r="I371" s="41"/>
      <c r="K371" s="42"/>
      <c r="L371" s="42"/>
      <c r="M371" s="41"/>
      <c r="N371" s="43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J371" s="41"/>
      <c r="AM371" s="44"/>
    </row>
    <row r="372">
      <c r="B372" s="39"/>
      <c r="C372" s="40"/>
      <c r="E372" s="40"/>
      <c r="F372" s="40"/>
      <c r="G372" s="40"/>
      <c r="H372" s="40"/>
      <c r="I372" s="41"/>
      <c r="K372" s="42"/>
      <c r="L372" s="42"/>
      <c r="M372" s="41"/>
      <c r="N372" s="43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J372" s="41"/>
      <c r="AM372" s="44"/>
    </row>
    <row r="373">
      <c r="B373" s="39"/>
      <c r="C373" s="40"/>
      <c r="E373" s="40"/>
      <c r="F373" s="40"/>
      <c r="G373" s="40"/>
      <c r="H373" s="40"/>
      <c r="I373" s="41"/>
      <c r="K373" s="42"/>
      <c r="L373" s="42"/>
      <c r="M373" s="41"/>
      <c r="N373" s="43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J373" s="41"/>
      <c r="AM373" s="44"/>
    </row>
    <row r="374">
      <c r="B374" s="39"/>
      <c r="C374" s="40"/>
      <c r="E374" s="40"/>
      <c r="F374" s="40"/>
      <c r="G374" s="40"/>
      <c r="H374" s="40"/>
      <c r="I374" s="41"/>
      <c r="K374" s="42"/>
      <c r="L374" s="42"/>
      <c r="M374" s="41"/>
      <c r="N374" s="43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J374" s="41"/>
      <c r="AM374" s="44"/>
    </row>
    <row r="375">
      <c r="B375" s="39"/>
      <c r="C375" s="40"/>
      <c r="E375" s="40"/>
      <c r="F375" s="40"/>
      <c r="G375" s="40"/>
      <c r="H375" s="40"/>
      <c r="I375" s="41"/>
      <c r="K375" s="42"/>
      <c r="L375" s="42"/>
      <c r="M375" s="41"/>
      <c r="N375" s="43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J375" s="41"/>
      <c r="AM375" s="44"/>
    </row>
    <row r="376">
      <c r="B376" s="39"/>
      <c r="C376" s="40"/>
      <c r="E376" s="40"/>
      <c r="F376" s="40"/>
      <c r="G376" s="40"/>
      <c r="H376" s="40"/>
      <c r="I376" s="41"/>
      <c r="K376" s="42"/>
      <c r="L376" s="42"/>
      <c r="M376" s="41"/>
      <c r="N376" s="43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J376" s="41"/>
      <c r="AM376" s="44"/>
    </row>
    <row r="377">
      <c r="B377" s="39"/>
      <c r="C377" s="40"/>
      <c r="E377" s="40"/>
      <c r="F377" s="40"/>
      <c r="G377" s="40"/>
      <c r="H377" s="40"/>
      <c r="I377" s="41"/>
      <c r="K377" s="42"/>
      <c r="L377" s="42"/>
      <c r="M377" s="41"/>
      <c r="N377" s="43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J377" s="41"/>
      <c r="AM377" s="44"/>
    </row>
    <row r="378">
      <c r="B378" s="39"/>
      <c r="C378" s="40"/>
      <c r="E378" s="40"/>
      <c r="F378" s="40"/>
      <c r="G378" s="40"/>
      <c r="H378" s="40"/>
      <c r="I378" s="41"/>
      <c r="K378" s="42"/>
      <c r="L378" s="42"/>
      <c r="M378" s="41"/>
      <c r="N378" s="43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J378" s="41"/>
      <c r="AM378" s="44"/>
    </row>
    <row r="379">
      <c r="B379" s="39"/>
      <c r="C379" s="40"/>
      <c r="E379" s="40"/>
      <c r="F379" s="40"/>
      <c r="G379" s="40"/>
      <c r="H379" s="40"/>
      <c r="I379" s="41"/>
      <c r="K379" s="42"/>
      <c r="L379" s="42"/>
      <c r="M379" s="41"/>
      <c r="N379" s="43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J379" s="41"/>
      <c r="AM379" s="44"/>
    </row>
    <row r="380">
      <c r="B380" s="39"/>
      <c r="C380" s="40"/>
      <c r="E380" s="40"/>
      <c r="F380" s="40"/>
      <c r="G380" s="40"/>
      <c r="H380" s="40"/>
      <c r="I380" s="41"/>
      <c r="K380" s="42"/>
      <c r="L380" s="42"/>
      <c r="M380" s="41"/>
      <c r="N380" s="43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J380" s="41"/>
      <c r="AM380" s="44"/>
    </row>
    <row r="381">
      <c r="B381" s="39"/>
      <c r="C381" s="40"/>
      <c r="E381" s="40"/>
      <c r="F381" s="40"/>
      <c r="G381" s="40"/>
      <c r="H381" s="40"/>
      <c r="I381" s="41"/>
      <c r="K381" s="42"/>
      <c r="L381" s="42"/>
      <c r="M381" s="41"/>
      <c r="N381" s="43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J381" s="41"/>
      <c r="AM381" s="44"/>
    </row>
    <row r="382">
      <c r="B382" s="39"/>
      <c r="C382" s="40"/>
      <c r="E382" s="40"/>
      <c r="F382" s="40"/>
      <c r="G382" s="40"/>
      <c r="H382" s="40"/>
      <c r="I382" s="41"/>
      <c r="K382" s="42"/>
      <c r="L382" s="42"/>
      <c r="M382" s="41"/>
      <c r="N382" s="43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J382" s="41"/>
      <c r="AM382" s="44"/>
    </row>
    <row r="383">
      <c r="B383" s="39"/>
      <c r="C383" s="40"/>
      <c r="E383" s="40"/>
      <c r="F383" s="40"/>
      <c r="G383" s="40"/>
      <c r="H383" s="40"/>
      <c r="I383" s="41"/>
      <c r="K383" s="42"/>
      <c r="L383" s="42"/>
      <c r="M383" s="41"/>
      <c r="N383" s="43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J383" s="41"/>
      <c r="AM383" s="44"/>
    </row>
    <row r="384">
      <c r="B384" s="39"/>
      <c r="C384" s="40"/>
      <c r="E384" s="40"/>
      <c r="F384" s="40"/>
      <c r="G384" s="40"/>
      <c r="H384" s="40"/>
      <c r="I384" s="41"/>
      <c r="K384" s="42"/>
      <c r="L384" s="42"/>
      <c r="M384" s="41"/>
      <c r="N384" s="43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J384" s="41"/>
      <c r="AM384" s="44"/>
    </row>
    <row r="385">
      <c r="B385" s="39"/>
      <c r="C385" s="40"/>
      <c r="E385" s="40"/>
      <c r="F385" s="40"/>
      <c r="G385" s="40"/>
      <c r="H385" s="40"/>
      <c r="I385" s="41"/>
      <c r="K385" s="42"/>
      <c r="L385" s="42"/>
      <c r="M385" s="41"/>
      <c r="N385" s="43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J385" s="41"/>
      <c r="AM385" s="44"/>
    </row>
    <row r="386">
      <c r="B386" s="39"/>
      <c r="C386" s="40"/>
      <c r="E386" s="40"/>
      <c r="F386" s="40"/>
      <c r="G386" s="40"/>
      <c r="H386" s="40"/>
      <c r="I386" s="41"/>
      <c r="K386" s="42"/>
      <c r="L386" s="42"/>
      <c r="M386" s="41"/>
      <c r="N386" s="43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J386" s="41"/>
      <c r="AM386" s="44"/>
    </row>
    <row r="387">
      <c r="B387" s="39"/>
      <c r="C387" s="40"/>
      <c r="E387" s="40"/>
      <c r="F387" s="40"/>
      <c r="G387" s="40"/>
      <c r="H387" s="40"/>
      <c r="I387" s="41"/>
      <c r="K387" s="42"/>
      <c r="L387" s="42"/>
      <c r="M387" s="41"/>
      <c r="N387" s="43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J387" s="41"/>
      <c r="AM387" s="44"/>
    </row>
    <row r="388">
      <c r="B388" s="39"/>
      <c r="C388" s="40"/>
      <c r="E388" s="40"/>
      <c r="F388" s="40"/>
      <c r="G388" s="40"/>
      <c r="H388" s="40"/>
      <c r="I388" s="41"/>
      <c r="K388" s="42"/>
      <c r="L388" s="42"/>
      <c r="M388" s="41"/>
      <c r="N388" s="43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J388" s="41"/>
      <c r="AM388" s="44"/>
    </row>
    <row r="389">
      <c r="B389" s="39"/>
      <c r="C389" s="40"/>
      <c r="E389" s="40"/>
      <c r="F389" s="40"/>
      <c r="G389" s="40"/>
      <c r="H389" s="40"/>
      <c r="I389" s="41"/>
      <c r="K389" s="42"/>
      <c r="L389" s="42"/>
      <c r="M389" s="41"/>
      <c r="N389" s="43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J389" s="41"/>
      <c r="AM389" s="44"/>
    </row>
    <row r="390">
      <c r="B390" s="39"/>
      <c r="C390" s="40"/>
      <c r="E390" s="40"/>
      <c r="F390" s="40"/>
      <c r="G390" s="40"/>
      <c r="H390" s="40"/>
      <c r="I390" s="41"/>
      <c r="K390" s="42"/>
      <c r="L390" s="42"/>
      <c r="M390" s="41"/>
      <c r="N390" s="43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J390" s="41"/>
      <c r="AM390" s="44"/>
    </row>
    <row r="391">
      <c r="B391" s="39"/>
      <c r="C391" s="40"/>
      <c r="E391" s="40"/>
      <c r="F391" s="40"/>
      <c r="G391" s="40"/>
      <c r="H391" s="40"/>
      <c r="I391" s="41"/>
      <c r="K391" s="42"/>
      <c r="L391" s="42"/>
      <c r="M391" s="41"/>
      <c r="N391" s="43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J391" s="41"/>
      <c r="AM391" s="44"/>
    </row>
    <row r="392">
      <c r="B392" s="39"/>
      <c r="C392" s="40"/>
      <c r="E392" s="40"/>
      <c r="F392" s="40"/>
      <c r="G392" s="40"/>
      <c r="H392" s="40"/>
      <c r="I392" s="41"/>
      <c r="K392" s="42"/>
      <c r="L392" s="42"/>
      <c r="M392" s="41"/>
      <c r="N392" s="43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J392" s="41"/>
      <c r="AM392" s="44"/>
    </row>
    <row r="393">
      <c r="B393" s="39"/>
      <c r="C393" s="40"/>
      <c r="E393" s="40"/>
      <c r="F393" s="40"/>
      <c r="G393" s="40"/>
      <c r="H393" s="40"/>
      <c r="I393" s="41"/>
      <c r="K393" s="42"/>
      <c r="L393" s="42"/>
      <c r="M393" s="41"/>
      <c r="N393" s="43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J393" s="41"/>
      <c r="AM393" s="44"/>
    </row>
    <row r="394">
      <c r="B394" s="39"/>
      <c r="C394" s="40"/>
      <c r="E394" s="40"/>
      <c r="F394" s="40"/>
      <c r="G394" s="40"/>
      <c r="H394" s="40"/>
      <c r="I394" s="41"/>
      <c r="K394" s="42"/>
      <c r="L394" s="42"/>
      <c r="M394" s="41"/>
      <c r="N394" s="43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J394" s="41"/>
      <c r="AM394" s="44"/>
    </row>
    <row r="395">
      <c r="B395" s="39"/>
      <c r="C395" s="40"/>
      <c r="E395" s="40"/>
      <c r="F395" s="40"/>
      <c r="G395" s="40"/>
      <c r="H395" s="40"/>
      <c r="I395" s="41"/>
      <c r="K395" s="42"/>
      <c r="L395" s="42"/>
      <c r="M395" s="41"/>
      <c r="N395" s="43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J395" s="41"/>
      <c r="AM395" s="44"/>
    </row>
    <row r="396">
      <c r="B396" s="39"/>
      <c r="C396" s="40"/>
      <c r="E396" s="40"/>
      <c r="F396" s="40"/>
      <c r="G396" s="40"/>
      <c r="H396" s="40"/>
      <c r="I396" s="41"/>
      <c r="K396" s="42"/>
      <c r="L396" s="42"/>
      <c r="M396" s="41"/>
      <c r="N396" s="43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J396" s="41"/>
      <c r="AM396" s="44"/>
    </row>
    <row r="397">
      <c r="B397" s="39"/>
      <c r="C397" s="40"/>
      <c r="E397" s="40"/>
      <c r="F397" s="40"/>
      <c r="G397" s="40"/>
      <c r="H397" s="40"/>
      <c r="I397" s="41"/>
      <c r="K397" s="42"/>
      <c r="L397" s="42"/>
      <c r="M397" s="41"/>
      <c r="N397" s="43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J397" s="41"/>
      <c r="AM397" s="44"/>
    </row>
    <row r="398">
      <c r="B398" s="39"/>
      <c r="C398" s="40"/>
      <c r="E398" s="40"/>
      <c r="F398" s="40"/>
      <c r="G398" s="40"/>
      <c r="H398" s="40"/>
      <c r="I398" s="41"/>
      <c r="K398" s="42"/>
      <c r="L398" s="42"/>
      <c r="M398" s="41"/>
      <c r="N398" s="43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J398" s="41"/>
      <c r="AM398" s="44"/>
    </row>
    <row r="399">
      <c r="B399" s="39"/>
      <c r="C399" s="40"/>
      <c r="E399" s="40"/>
      <c r="F399" s="40"/>
      <c r="G399" s="40"/>
      <c r="H399" s="40"/>
      <c r="I399" s="41"/>
      <c r="K399" s="42"/>
      <c r="L399" s="42"/>
      <c r="M399" s="41"/>
      <c r="N399" s="43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J399" s="41"/>
      <c r="AM399" s="44"/>
    </row>
    <row r="400">
      <c r="B400" s="39"/>
      <c r="C400" s="40"/>
      <c r="E400" s="40"/>
      <c r="F400" s="40"/>
      <c r="G400" s="40"/>
      <c r="H400" s="40"/>
      <c r="I400" s="41"/>
      <c r="K400" s="42"/>
      <c r="L400" s="42"/>
      <c r="M400" s="41"/>
      <c r="N400" s="43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J400" s="41"/>
      <c r="AM400" s="44"/>
    </row>
    <row r="401">
      <c r="B401" s="39"/>
      <c r="C401" s="40"/>
      <c r="E401" s="40"/>
      <c r="F401" s="40"/>
      <c r="G401" s="40"/>
      <c r="H401" s="40"/>
      <c r="I401" s="41"/>
      <c r="K401" s="42"/>
      <c r="L401" s="42"/>
      <c r="M401" s="41"/>
      <c r="N401" s="43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J401" s="41"/>
      <c r="AM401" s="44"/>
    </row>
    <row r="402">
      <c r="B402" s="39"/>
      <c r="C402" s="40"/>
      <c r="E402" s="40"/>
      <c r="F402" s="40"/>
      <c r="G402" s="40"/>
      <c r="H402" s="40"/>
      <c r="I402" s="41"/>
      <c r="K402" s="42"/>
      <c r="L402" s="42"/>
      <c r="M402" s="41"/>
      <c r="N402" s="43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J402" s="41"/>
      <c r="AM402" s="44"/>
    </row>
    <row r="403">
      <c r="B403" s="39"/>
      <c r="C403" s="40"/>
      <c r="E403" s="40"/>
      <c r="F403" s="40"/>
      <c r="G403" s="40"/>
      <c r="H403" s="40"/>
      <c r="I403" s="41"/>
      <c r="K403" s="42"/>
      <c r="L403" s="42"/>
      <c r="M403" s="41"/>
      <c r="N403" s="43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J403" s="41"/>
      <c r="AM403" s="44"/>
    </row>
    <row r="404">
      <c r="B404" s="39"/>
      <c r="C404" s="40"/>
      <c r="E404" s="40"/>
      <c r="F404" s="40"/>
      <c r="G404" s="40"/>
      <c r="H404" s="40"/>
      <c r="I404" s="41"/>
      <c r="K404" s="42"/>
      <c r="L404" s="42"/>
      <c r="M404" s="41"/>
      <c r="N404" s="43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J404" s="41"/>
      <c r="AM404" s="44"/>
    </row>
    <row r="405">
      <c r="B405" s="39"/>
      <c r="C405" s="40"/>
      <c r="E405" s="40"/>
      <c r="F405" s="40"/>
      <c r="G405" s="40"/>
      <c r="H405" s="40"/>
      <c r="I405" s="41"/>
      <c r="K405" s="42"/>
      <c r="L405" s="42"/>
      <c r="M405" s="41"/>
      <c r="N405" s="43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J405" s="41"/>
      <c r="AM405" s="44"/>
    </row>
    <row r="406">
      <c r="B406" s="39"/>
      <c r="C406" s="40"/>
      <c r="E406" s="40"/>
      <c r="F406" s="40"/>
      <c r="G406" s="40"/>
      <c r="H406" s="40"/>
      <c r="I406" s="41"/>
      <c r="K406" s="42"/>
      <c r="L406" s="42"/>
      <c r="M406" s="41"/>
      <c r="N406" s="43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J406" s="41"/>
      <c r="AM406" s="44"/>
    </row>
    <row r="407">
      <c r="B407" s="39"/>
      <c r="C407" s="40"/>
      <c r="E407" s="40"/>
      <c r="F407" s="40"/>
      <c r="G407" s="40"/>
      <c r="H407" s="40"/>
      <c r="I407" s="41"/>
      <c r="K407" s="42"/>
      <c r="L407" s="42"/>
      <c r="M407" s="41"/>
      <c r="N407" s="43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J407" s="41"/>
      <c r="AM407" s="44"/>
    </row>
    <row r="408">
      <c r="B408" s="39"/>
      <c r="C408" s="40"/>
      <c r="E408" s="40"/>
      <c r="F408" s="40"/>
      <c r="G408" s="40"/>
      <c r="H408" s="40"/>
      <c r="I408" s="41"/>
      <c r="K408" s="42"/>
      <c r="L408" s="42"/>
      <c r="M408" s="41"/>
      <c r="N408" s="43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J408" s="41"/>
      <c r="AM408" s="44"/>
    </row>
    <row r="409">
      <c r="B409" s="39"/>
      <c r="C409" s="40"/>
      <c r="E409" s="40"/>
      <c r="F409" s="40"/>
      <c r="G409" s="40"/>
      <c r="H409" s="40"/>
      <c r="I409" s="41"/>
      <c r="K409" s="42"/>
      <c r="L409" s="42"/>
      <c r="M409" s="41"/>
      <c r="N409" s="43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J409" s="41"/>
      <c r="AM409" s="44"/>
    </row>
    <row r="410">
      <c r="B410" s="39"/>
      <c r="C410" s="40"/>
      <c r="E410" s="40"/>
      <c r="F410" s="40"/>
      <c r="G410" s="40"/>
      <c r="H410" s="40"/>
      <c r="I410" s="41"/>
      <c r="K410" s="42"/>
      <c r="L410" s="42"/>
      <c r="M410" s="41"/>
      <c r="N410" s="43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J410" s="41"/>
      <c r="AM410" s="44"/>
    </row>
    <row r="411">
      <c r="B411" s="39"/>
      <c r="C411" s="40"/>
      <c r="E411" s="40"/>
      <c r="F411" s="40"/>
      <c r="G411" s="40"/>
      <c r="H411" s="40"/>
      <c r="I411" s="41"/>
      <c r="K411" s="42"/>
      <c r="L411" s="42"/>
      <c r="M411" s="41"/>
      <c r="N411" s="43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J411" s="41"/>
      <c r="AM411" s="44"/>
    </row>
    <row r="412">
      <c r="B412" s="39"/>
      <c r="C412" s="40"/>
      <c r="E412" s="40"/>
      <c r="F412" s="40"/>
      <c r="G412" s="40"/>
      <c r="H412" s="40"/>
      <c r="I412" s="41"/>
      <c r="K412" s="42"/>
      <c r="L412" s="42"/>
      <c r="M412" s="41"/>
      <c r="N412" s="43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J412" s="41"/>
      <c r="AM412" s="44"/>
    </row>
    <row r="413">
      <c r="B413" s="39"/>
      <c r="C413" s="40"/>
      <c r="E413" s="40"/>
      <c r="F413" s="40"/>
      <c r="G413" s="40"/>
      <c r="H413" s="40"/>
      <c r="I413" s="41"/>
      <c r="K413" s="42"/>
      <c r="L413" s="42"/>
      <c r="M413" s="41"/>
      <c r="N413" s="43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J413" s="41"/>
      <c r="AM413" s="44"/>
    </row>
    <row r="414">
      <c r="B414" s="39"/>
      <c r="C414" s="40"/>
      <c r="E414" s="40"/>
      <c r="F414" s="40"/>
      <c r="G414" s="40"/>
      <c r="H414" s="40"/>
      <c r="I414" s="41"/>
      <c r="K414" s="42"/>
      <c r="L414" s="42"/>
      <c r="M414" s="41"/>
      <c r="N414" s="43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J414" s="41"/>
      <c r="AM414" s="44"/>
    </row>
    <row r="415">
      <c r="B415" s="39"/>
      <c r="C415" s="40"/>
      <c r="E415" s="40"/>
      <c r="F415" s="40"/>
      <c r="G415" s="40"/>
      <c r="H415" s="40"/>
      <c r="I415" s="41"/>
      <c r="K415" s="42"/>
      <c r="L415" s="42"/>
      <c r="M415" s="41"/>
      <c r="N415" s="43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J415" s="41"/>
      <c r="AM415" s="44"/>
    </row>
    <row r="416">
      <c r="B416" s="39"/>
      <c r="C416" s="40"/>
      <c r="E416" s="40"/>
      <c r="F416" s="40"/>
      <c r="G416" s="40"/>
      <c r="H416" s="40"/>
      <c r="I416" s="41"/>
      <c r="K416" s="42"/>
      <c r="L416" s="42"/>
      <c r="M416" s="41"/>
      <c r="N416" s="43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J416" s="41"/>
      <c r="AM416" s="44"/>
    </row>
    <row r="417">
      <c r="B417" s="39"/>
      <c r="C417" s="40"/>
      <c r="E417" s="40"/>
      <c r="F417" s="40"/>
      <c r="G417" s="40"/>
      <c r="H417" s="40"/>
      <c r="I417" s="41"/>
      <c r="K417" s="42"/>
      <c r="L417" s="42"/>
      <c r="M417" s="41"/>
      <c r="N417" s="43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J417" s="41"/>
      <c r="AM417" s="44"/>
    </row>
    <row r="418">
      <c r="B418" s="39"/>
      <c r="C418" s="40"/>
      <c r="E418" s="40"/>
      <c r="F418" s="40"/>
      <c r="G418" s="40"/>
      <c r="H418" s="40"/>
      <c r="I418" s="41"/>
      <c r="K418" s="42"/>
      <c r="L418" s="42"/>
      <c r="M418" s="41"/>
      <c r="N418" s="43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J418" s="41"/>
      <c r="AM418" s="44"/>
    </row>
    <row r="419">
      <c r="B419" s="39"/>
      <c r="C419" s="40"/>
      <c r="E419" s="40"/>
      <c r="F419" s="40"/>
      <c r="G419" s="40"/>
      <c r="H419" s="40"/>
      <c r="I419" s="41"/>
      <c r="K419" s="42"/>
      <c r="L419" s="42"/>
      <c r="M419" s="41"/>
      <c r="N419" s="43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J419" s="41"/>
      <c r="AM419" s="44"/>
    </row>
    <row r="420">
      <c r="B420" s="39"/>
      <c r="C420" s="40"/>
      <c r="E420" s="40"/>
      <c r="F420" s="40"/>
      <c r="G420" s="40"/>
      <c r="H420" s="40"/>
      <c r="I420" s="41"/>
      <c r="K420" s="42"/>
      <c r="L420" s="42"/>
      <c r="M420" s="41"/>
      <c r="N420" s="43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J420" s="41"/>
      <c r="AM420" s="44"/>
    </row>
    <row r="421">
      <c r="B421" s="39"/>
      <c r="C421" s="40"/>
      <c r="E421" s="40"/>
      <c r="F421" s="40"/>
      <c r="G421" s="40"/>
      <c r="H421" s="40"/>
      <c r="I421" s="41"/>
      <c r="K421" s="42"/>
      <c r="L421" s="42"/>
      <c r="M421" s="41"/>
      <c r="N421" s="43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J421" s="41"/>
      <c r="AM421" s="44"/>
    </row>
    <row r="422">
      <c r="B422" s="39"/>
      <c r="C422" s="40"/>
      <c r="E422" s="40"/>
      <c r="F422" s="40"/>
      <c r="G422" s="40"/>
      <c r="H422" s="40"/>
      <c r="I422" s="41"/>
      <c r="K422" s="42"/>
      <c r="L422" s="42"/>
      <c r="M422" s="41"/>
      <c r="N422" s="43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J422" s="41"/>
      <c r="AM422" s="44"/>
    </row>
    <row r="423">
      <c r="B423" s="39"/>
      <c r="C423" s="40"/>
      <c r="E423" s="40"/>
      <c r="F423" s="40"/>
      <c r="G423" s="40"/>
      <c r="H423" s="40"/>
      <c r="I423" s="41"/>
      <c r="K423" s="42"/>
      <c r="L423" s="42"/>
      <c r="M423" s="41"/>
      <c r="N423" s="43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J423" s="41"/>
      <c r="AM423" s="44"/>
    </row>
    <row r="424">
      <c r="B424" s="39"/>
      <c r="C424" s="40"/>
      <c r="E424" s="40"/>
      <c r="F424" s="40"/>
      <c r="G424" s="40"/>
      <c r="H424" s="40"/>
      <c r="I424" s="41"/>
      <c r="K424" s="42"/>
      <c r="L424" s="42"/>
      <c r="M424" s="41"/>
      <c r="N424" s="43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J424" s="41"/>
      <c r="AM424" s="44"/>
    </row>
    <row r="425">
      <c r="B425" s="39"/>
      <c r="C425" s="40"/>
      <c r="E425" s="40"/>
      <c r="F425" s="40"/>
      <c r="G425" s="40"/>
      <c r="H425" s="40"/>
      <c r="I425" s="41"/>
      <c r="K425" s="42"/>
      <c r="L425" s="42"/>
      <c r="M425" s="41"/>
      <c r="N425" s="43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J425" s="41"/>
      <c r="AM425" s="44"/>
    </row>
    <row r="426">
      <c r="B426" s="39"/>
      <c r="C426" s="40"/>
      <c r="E426" s="40"/>
      <c r="F426" s="40"/>
      <c r="G426" s="40"/>
      <c r="H426" s="40"/>
      <c r="I426" s="41"/>
      <c r="K426" s="42"/>
      <c r="L426" s="42"/>
      <c r="M426" s="41"/>
      <c r="N426" s="43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J426" s="41"/>
      <c r="AM426" s="44"/>
    </row>
    <row r="427">
      <c r="B427" s="39"/>
      <c r="C427" s="40"/>
      <c r="E427" s="40"/>
      <c r="F427" s="40"/>
      <c r="G427" s="40"/>
      <c r="H427" s="40"/>
      <c r="I427" s="41"/>
      <c r="K427" s="42"/>
      <c r="L427" s="42"/>
      <c r="M427" s="41"/>
      <c r="N427" s="43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J427" s="41"/>
      <c r="AM427" s="44"/>
    </row>
    <row r="428">
      <c r="B428" s="39"/>
      <c r="C428" s="40"/>
      <c r="E428" s="40"/>
      <c r="F428" s="40"/>
      <c r="G428" s="40"/>
      <c r="H428" s="40"/>
      <c r="I428" s="41"/>
      <c r="K428" s="42"/>
      <c r="L428" s="42"/>
      <c r="M428" s="41"/>
      <c r="N428" s="43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J428" s="41"/>
      <c r="AM428" s="44"/>
    </row>
    <row r="429">
      <c r="B429" s="39"/>
      <c r="C429" s="40"/>
      <c r="E429" s="40"/>
      <c r="F429" s="40"/>
      <c r="G429" s="40"/>
      <c r="H429" s="40"/>
      <c r="I429" s="41"/>
      <c r="K429" s="42"/>
      <c r="L429" s="42"/>
      <c r="M429" s="41"/>
      <c r="N429" s="43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J429" s="41"/>
      <c r="AM429" s="44"/>
    </row>
    <row r="430">
      <c r="B430" s="39"/>
      <c r="C430" s="40"/>
      <c r="E430" s="40"/>
      <c r="F430" s="40"/>
      <c r="G430" s="40"/>
      <c r="H430" s="40"/>
      <c r="I430" s="41"/>
      <c r="K430" s="42"/>
      <c r="L430" s="42"/>
      <c r="M430" s="41"/>
      <c r="N430" s="43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J430" s="41"/>
      <c r="AM430" s="44"/>
    </row>
    <row r="431">
      <c r="B431" s="39"/>
      <c r="C431" s="40"/>
      <c r="E431" s="40"/>
      <c r="F431" s="40"/>
      <c r="G431" s="40"/>
      <c r="H431" s="40"/>
      <c r="I431" s="41"/>
      <c r="K431" s="42"/>
      <c r="L431" s="42"/>
      <c r="M431" s="41"/>
      <c r="N431" s="43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J431" s="41"/>
      <c r="AM431" s="44"/>
    </row>
    <row r="432">
      <c r="B432" s="39"/>
      <c r="C432" s="40"/>
      <c r="E432" s="40"/>
      <c r="F432" s="40"/>
      <c r="G432" s="40"/>
      <c r="H432" s="40"/>
      <c r="I432" s="41"/>
      <c r="K432" s="42"/>
      <c r="L432" s="42"/>
      <c r="M432" s="41"/>
      <c r="N432" s="43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J432" s="41"/>
      <c r="AM432" s="44"/>
    </row>
    <row r="433">
      <c r="B433" s="39"/>
      <c r="C433" s="40"/>
      <c r="E433" s="40"/>
      <c r="F433" s="40"/>
      <c r="G433" s="40"/>
      <c r="H433" s="40"/>
      <c r="I433" s="41"/>
      <c r="K433" s="42"/>
      <c r="L433" s="42"/>
      <c r="M433" s="41"/>
      <c r="N433" s="43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J433" s="41"/>
      <c r="AM433" s="44"/>
    </row>
    <row r="434">
      <c r="B434" s="39"/>
      <c r="C434" s="40"/>
      <c r="E434" s="40"/>
      <c r="F434" s="40"/>
      <c r="G434" s="40"/>
      <c r="H434" s="40"/>
      <c r="I434" s="41"/>
      <c r="K434" s="42"/>
      <c r="L434" s="42"/>
      <c r="M434" s="41"/>
      <c r="N434" s="43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J434" s="41"/>
      <c r="AM434" s="44"/>
    </row>
    <row r="435">
      <c r="B435" s="39"/>
      <c r="C435" s="40"/>
      <c r="E435" s="40"/>
      <c r="F435" s="40"/>
      <c r="G435" s="40"/>
      <c r="H435" s="40"/>
      <c r="I435" s="41"/>
      <c r="K435" s="42"/>
      <c r="L435" s="42"/>
      <c r="M435" s="41"/>
      <c r="N435" s="43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J435" s="41"/>
      <c r="AM435" s="44"/>
    </row>
    <row r="436">
      <c r="B436" s="39"/>
      <c r="C436" s="40"/>
      <c r="E436" s="40"/>
      <c r="F436" s="40"/>
      <c r="G436" s="40"/>
      <c r="H436" s="40"/>
      <c r="I436" s="41"/>
      <c r="K436" s="42"/>
      <c r="L436" s="42"/>
      <c r="M436" s="41"/>
      <c r="N436" s="43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J436" s="41"/>
      <c r="AM436" s="44"/>
    </row>
    <row r="437">
      <c r="B437" s="39"/>
      <c r="C437" s="40"/>
      <c r="E437" s="40"/>
      <c r="F437" s="40"/>
      <c r="G437" s="40"/>
      <c r="H437" s="40"/>
      <c r="I437" s="41"/>
      <c r="K437" s="42"/>
      <c r="L437" s="42"/>
      <c r="M437" s="41"/>
      <c r="N437" s="43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J437" s="41"/>
      <c r="AM437" s="44"/>
    </row>
    <row r="438">
      <c r="B438" s="39"/>
      <c r="C438" s="40"/>
      <c r="E438" s="40"/>
      <c r="F438" s="40"/>
      <c r="G438" s="40"/>
      <c r="H438" s="40"/>
      <c r="I438" s="41"/>
      <c r="K438" s="42"/>
      <c r="L438" s="42"/>
      <c r="M438" s="41"/>
      <c r="N438" s="43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J438" s="41"/>
      <c r="AM438" s="44"/>
    </row>
    <row r="439">
      <c r="B439" s="39"/>
      <c r="C439" s="40"/>
      <c r="E439" s="40"/>
      <c r="F439" s="40"/>
      <c r="G439" s="40"/>
      <c r="H439" s="40"/>
      <c r="I439" s="41"/>
      <c r="K439" s="42"/>
      <c r="L439" s="42"/>
      <c r="M439" s="41"/>
      <c r="N439" s="43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J439" s="41"/>
      <c r="AM439" s="44"/>
    </row>
    <row r="440">
      <c r="B440" s="39"/>
      <c r="C440" s="40"/>
      <c r="E440" s="40"/>
      <c r="F440" s="40"/>
      <c r="G440" s="40"/>
      <c r="H440" s="40"/>
      <c r="I440" s="41"/>
      <c r="K440" s="42"/>
      <c r="L440" s="42"/>
      <c r="M440" s="41"/>
      <c r="N440" s="43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J440" s="41"/>
      <c r="AM440" s="44"/>
    </row>
    <row r="441">
      <c r="B441" s="39"/>
      <c r="C441" s="40"/>
      <c r="E441" s="40"/>
      <c r="F441" s="40"/>
      <c r="G441" s="40"/>
      <c r="H441" s="40"/>
      <c r="I441" s="41"/>
      <c r="K441" s="42"/>
      <c r="L441" s="42"/>
      <c r="M441" s="41"/>
      <c r="N441" s="43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J441" s="41"/>
      <c r="AM441" s="44"/>
    </row>
    <row r="442">
      <c r="B442" s="39"/>
      <c r="C442" s="40"/>
      <c r="E442" s="40"/>
      <c r="F442" s="40"/>
      <c r="G442" s="40"/>
      <c r="H442" s="40"/>
      <c r="I442" s="41"/>
      <c r="K442" s="42"/>
      <c r="L442" s="42"/>
      <c r="M442" s="41"/>
      <c r="N442" s="43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J442" s="41"/>
      <c r="AM442" s="44"/>
    </row>
    <row r="443">
      <c r="B443" s="39"/>
      <c r="C443" s="40"/>
      <c r="E443" s="40"/>
      <c r="F443" s="40"/>
      <c r="G443" s="40"/>
      <c r="H443" s="40"/>
      <c r="I443" s="41"/>
      <c r="K443" s="42"/>
      <c r="L443" s="42"/>
      <c r="M443" s="41"/>
      <c r="N443" s="43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J443" s="41"/>
      <c r="AM443" s="44"/>
    </row>
    <row r="444">
      <c r="B444" s="39"/>
      <c r="C444" s="40"/>
      <c r="E444" s="40"/>
      <c r="F444" s="40"/>
      <c r="G444" s="40"/>
      <c r="H444" s="40"/>
      <c r="I444" s="41"/>
      <c r="K444" s="42"/>
      <c r="L444" s="42"/>
      <c r="M444" s="41"/>
      <c r="N444" s="43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J444" s="41"/>
      <c r="AM444" s="44"/>
    </row>
    <row r="445">
      <c r="B445" s="39"/>
      <c r="C445" s="40"/>
      <c r="E445" s="40"/>
      <c r="F445" s="40"/>
      <c r="G445" s="40"/>
      <c r="H445" s="40"/>
      <c r="I445" s="41"/>
      <c r="K445" s="42"/>
      <c r="L445" s="42"/>
      <c r="M445" s="41"/>
      <c r="N445" s="43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J445" s="41"/>
      <c r="AM445" s="44"/>
    </row>
    <row r="446">
      <c r="B446" s="39"/>
      <c r="C446" s="40"/>
      <c r="E446" s="40"/>
      <c r="F446" s="40"/>
      <c r="G446" s="40"/>
      <c r="H446" s="40"/>
      <c r="I446" s="41"/>
      <c r="K446" s="42"/>
      <c r="L446" s="42"/>
      <c r="M446" s="41"/>
      <c r="N446" s="43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J446" s="41"/>
      <c r="AM446" s="44"/>
    </row>
    <row r="447">
      <c r="B447" s="39"/>
      <c r="C447" s="40"/>
      <c r="E447" s="40"/>
      <c r="F447" s="40"/>
      <c r="G447" s="40"/>
      <c r="H447" s="40"/>
      <c r="I447" s="41"/>
      <c r="K447" s="42"/>
      <c r="L447" s="42"/>
      <c r="M447" s="41"/>
      <c r="N447" s="43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J447" s="41"/>
      <c r="AM447" s="44"/>
    </row>
    <row r="448">
      <c r="B448" s="39"/>
      <c r="C448" s="40"/>
      <c r="E448" s="40"/>
      <c r="F448" s="40"/>
      <c r="G448" s="40"/>
      <c r="H448" s="40"/>
      <c r="I448" s="41"/>
      <c r="K448" s="42"/>
      <c r="L448" s="42"/>
      <c r="M448" s="41"/>
      <c r="N448" s="43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J448" s="41"/>
      <c r="AM448" s="44"/>
    </row>
    <row r="449">
      <c r="B449" s="39"/>
      <c r="C449" s="40"/>
      <c r="E449" s="40"/>
      <c r="F449" s="40"/>
      <c r="G449" s="40"/>
      <c r="H449" s="40"/>
      <c r="I449" s="41"/>
      <c r="K449" s="42"/>
      <c r="L449" s="42"/>
      <c r="M449" s="41"/>
      <c r="N449" s="43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J449" s="41"/>
      <c r="AM449" s="44"/>
    </row>
    <row r="450">
      <c r="B450" s="39"/>
      <c r="C450" s="40"/>
      <c r="E450" s="40"/>
      <c r="F450" s="40"/>
      <c r="G450" s="40"/>
      <c r="H450" s="40"/>
      <c r="I450" s="41"/>
      <c r="K450" s="42"/>
      <c r="L450" s="42"/>
      <c r="M450" s="41"/>
      <c r="N450" s="43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J450" s="41"/>
      <c r="AM450" s="44"/>
    </row>
    <row r="451">
      <c r="B451" s="39"/>
      <c r="C451" s="40"/>
      <c r="E451" s="40"/>
      <c r="F451" s="40"/>
      <c r="G451" s="40"/>
      <c r="H451" s="40"/>
      <c r="I451" s="41"/>
      <c r="K451" s="42"/>
      <c r="L451" s="42"/>
      <c r="M451" s="41"/>
      <c r="N451" s="43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J451" s="41"/>
      <c r="AM451" s="44"/>
    </row>
    <row r="452">
      <c r="B452" s="39"/>
      <c r="C452" s="40"/>
      <c r="E452" s="40"/>
      <c r="F452" s="40"/>
      <c r="G452" s="40"/>
      <c r="H452" s="40"/>
      <c r="I452" s="41"/>
      <c r="K452" s="42"/>
      <c r="L452" s="42"/>
      <c r="M452" s="41"/>
      <c r="N452" s="43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J452" s="41"/>
      <c r="AM452" s="44"/>
    </row>
    <row r="453">
      <c r="B453" s="39"/>
      <c r="C453" s="40"/>
      <c r="E453" s="40"/>
      <c r="F453" s="40"/>
      <c r="G453" s="40"/>
      <c r="H453" s="40"/>
      <c r="I453" s="41"/>
      <c r="K453" s="42"/>
      <c r="L453" s="42"/>
      <c r="M453" s="41"/>
      <c r="N453" s="43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J453" s="41"/>
      <c r="AM453" s="44"/>
    </row>
    <row r="454">
      <c r="B454" s="39"/>
      <c r="C454" s="40"/>
      <c r="E454" s="40"/>
      <c r="F454" s="40"/>
      <c r="G454" s="40"/>
      <c r="H454" s="40"/>
      <c r="I454" s="41"/>
      <c r="K454" s="42"/>
      <c r="L454" s="42"/>
      <c r="M454" s="41"/>
      <c r="N454" s="43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J454" s="41"/>
      <c r="AM454" s="44"/>
    </row>
    <row r="455">
      <c r="B455" s="39"/>
      <c r="C455" s="40"/>
      <c r="E455" s="40"/>
      <c r="F455" s="40"/>
      <c r="G455" s="40"/>
      <c r="H455" s="40"/>
      <c r="I455" s="41"/>
      <c r="K455" s="42"/>
      <c r="L455" s="42"/>
      <c r="M455" s="41"/>
      <c r="N455" s="43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J455" s="41"/>
      <c r="AM455" s="44"/>
    </row>
    <row r="456">
      <c r="B456" s="39"/>
      <c r="C456" s="40"/>
      <c r="E456" s="40"/>
      <c r="F456" s="40"/>
      <c r="G456" s="40"/>
      <c r="H456" s="40"/>
      <c r="I456" s="41"/>
      <c r="K456" s="42"/>
      <c r="L456" s="42"/>
      <c r="M456" s="41"/>
      <c r="N456" s="43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J456" s="41"/>
      <c r="AM456" s="44"/>
    </row>
    <row r="457">
      <c r="B457" s="39"/>
      <c r="C457" s="40"/>
      <c r="E457" s="40"/>
      <c r="F457" s="40"/>
      <c r="G457" s="40"/>
      <c r="H457" s="40"/>
      <c r="I457" s="41"/>
      <c r="K457" s="42"/>
      <c r="L457" s="42"/>
      <c r="M457" s="41"/>
      <c r="N457" s="43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J457" s="41"/>
      <c r="AM457" s="44"/>
    </row>
    <row r="458">
      <c r="B458" s="39"/>
      <c r="C458" s="40"/>
      <c r="E458" s="40"/>
      <c r="F458" s="40"/>
      <c r="G458" s="40"/>
      <c r="H458" s="40"/>
      <c r="I458" s="41"/>
      <c r="K458" s="42"/>
      <c r="L458" s="42"/>
      <c r="M458" s="41"/>
      <c r="N458" s="43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J458" s="41"/>
      <c r="AM458" s="44"/>
    </row>
    <row r="459">
      <c r="B459" s="39"/>
      <c r="C459" s="40"/>
      <c r="E459" s="40"/>
      <c r="F459" s="40"/>
      <c r="G459" s="40"/>
      <c r="H459" s="40"/>
      <c r="I459" s="41"/>
      <c r="K459" s="42"/>
      <c r="L459" s="42"/>
      <c r="M459" s="41"/>
      <c r="N459" s="43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J459" s="41"/>
      <c r="AM459" s="44"/>
    </row>
    <row r="460">
      <c r="B460" s="39"/>
      <c r="C460" s="40"/>
      <c r="E460" s="40"/>
      <c r="F460" s="40"/>
      <c r="G460" s="40"/>
      <c r="H460" s="40"/>
      <c r="I460" s="41"/>
      <c r="K460" s="42"/>
      <c r="L460" s="42"/>
      <c r="M460" s="41"/>
      <c r="N460" s="43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J460" s="41"/>
      <c r="AM460" s="44"/>
    </row>
    <row r="461">
      <c r="B461" s="39"/>
      <c r="C461" s="40"/>
      <c r="E461" s="40"/>
      <c r="F461" s="40"/>
      <c r="G461" s="40"/>
      <c r="H461" s="40"/>
      <c r="I461" s="41"/>
      <c r="K461" s="42"/>
      <c r="L461" s="42"/>
      <c r="M461" s="41"/>
      <c r="N461" s="43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J461" s="41"/>
      <c r="AM461" s="44"/>
    </row>
    <row r="462">
      <c r="B462" s="39"/>
      <c r="C462" s="40"/>
      <c r="E462" s="40"/>
      <c r="F462" s="40"/>
      <c r="G462" s="40"/>
      <c r="H462" s="40"/>
      <c r="I462" s="41"/>
      <c r="K462" s="42"/>
      <c r="L462" s="42"/>
      <c r="M462" s="41"/>
      <c r="N462" s="43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J462" s="41"/>
      <c r="AM462" s="44"/>
    </row>
    <row r="463">
      <c r="B463" s="39"/>
      <c r="C463" s="40"/>
      <c r="E463" s="40"/>
      <c r="F463" s="40"/>
      <c r="G463" s="40"/>
      <c r="H463" s="40"/>
      <c r="I463" s="41"/>
      <c r="K463" s="42"/>
      <c r="L463" s="42"/>
      <c r="M463" s="41"/>
      <c r="N463" s="43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J463" s="41"/>
      <c r="AM463" s="44"/>
    </row>
    <row r="464">
      <c r="B464" s="39"/>
      <c r="C464" s="40"/>
      <c r="E464" s="40"/>
      <c r="F464" s="40"/>
      <c r="G464" s="40"/>
      <c r="H464" s="40"/>
      <c r="I464" s="41"/>
      <c r="K464" s="42"/>
      <c r="L464" s="42"/>
      <c r="M464" s="41"/>
      <c r="N464" s="43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J464" s="41"/>
      <c r="AM464" s="44"/>
    </row>
    <row r="465">
      <c r="B465" s="39"/>
      <c r="C465" s="40"/>
      <c r="E465" s="40"/>
      <c r="F465" s="40"/>
      <c r="G465" s="40"/>
      <c r="H465" s="40"/>
      <c r="I465" s="41"/>
      <c r="K465" s="42"/>
      <c r="L465" s="42"/>
      <c r="M465" s="41"/>
      <c r="N465" s="43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J465" s="41"/>
      <c r="AM465" s="44"/>
    </row>
    <row r="466">
      <c r="B466" s="39"/>
      <c r="C466" s="40"/>
      <c r="E466" s="40"/>
      <c r="F466" s="40"/>
      <c r="G466" s="40"/>
      <c r="H466" s="40"/>
      <c r="I466" s="41"/>
      <c r="K466" s="42"/>
      <c r="L466" s="42"/>
      <c r="M466" s="41"/>
      <c r="N466" s="43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J466" s="41"/>
      <c r="AM466" s="44"/>
    </row>
    <row r="467">
      <c r="B467" s="39"/>
      <c r="C467" s="40"/>
      <c r="E467" s="40"/>
      <c r="F467" s="40"/>
      <c r="G467" s="40"/>
      <c r="H467" s="40"/>
      <c r="I467" s="41"/>
      <c r="K467" s="42"/>
      <c r="L467" s="42"/>
      <c r="M467" s="41"/>
      <c r="N467" s="43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J467" s="41"/>
      <c r="AM467" s="44"/>
    </row>
    <row r="468">
      <c r="B468" s="39"/>
      <c r="C468" s="40"/>
      <c r="E468" s="40"/>
      <c r="F468" s="40"/>
      <c r="G468" s="40"/>
      <c r="H468" s="40"/>
      <c r="I468" s="41"/>
      <c r="K468" s="42"/>
      <c r="L468" s="42"/>
      <c r="M468" s="41"/>
      <c r="N468" s="43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J468" s="41"/>
      <c r="AM468" s="44"/>
    </row>
    <row r="469">
      <c r="B469" s="39"/>
      <c r="C469" s="40"/>
      <c r="E469" s="40"/>
      <c r="F469" s="40"/>
      <c r="G469" s="40"/>
      <c r="H469" s="40"/>
      <c r="I469" s="41"/>
      <c r="K469" s="42"/>
      <c r="L469" s="42"/>
      <c r="M469" s="41"/>
      <c r="N469" s="43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J469" s="41"/>
      <c r="AM469" s="44"/>
    </row>
    <row r="470">
      <c r="B470" s="39"/>
      <c r="C470" s="40"/>
      <c r="E470" s="40"/>
      <c r="F470" s="40"/>
      <c r="G470" s="40"/>
      <c r="H470" s="40"/>
      <c r="I470" s="41"/>
      <c r="K470" s="42"/>
      <c r="L470" s="42"/>
      <c r="M470" s="41"/>
      <c r="N470" s="43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J470" s="41"/>
      <c r="AM470" s="44"/>
    </row>
    <row r="471">
      <c r="B471" s="39"/>
      <c r="C471" s="40"/>
      <c r="E471" s="40"/>
      <c r="F471" s="40"/>
      <c r="G471" s="40"/>
      <c r="H471" s="40"/>
      <c r="I471" s="41"/>
      <c r="K471" s="42"/>
      <c r="L471" s="42"/>
      <c r="M471" s="41"/>
      <c r="N471" s="43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J471" s="41"/>
      <c r="AM471" s="44"/>
    </row>
    <row r="472">
      <c r="B472" s="39"/>
      <c r="C472" s="40"/>
      <c r="E472" s="40"/>
      <c r="F472" s="40"/>
      <c r="G472" s="40"/>
      <c r="H472" s="40"/>
      <c r="I472" s="41"/>
      <c r="K472" s="42"/>
      <c r="L472" s="42"/>
      <c r="M472" s="41"/>
      <c r="N472" s="43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J472" s="41"/>
      <c r="AM472" s="44"/>
    </row>
    <row r="473">
      <c r="B473" s="39"/>
      <c r="C473" s="40"/>
      <c r="E473" s="40"/>
      <c r="F473" s="40"/>
      <c r="G473" s="40"/>
      <c r="H473" s="40"/>
      <c r="I473" s="41"/>
      <c r="K473" s="42"/>
      <c r="L473" s="42"/>
      <c r="M473" s="41"/>
      <c r="N473" s="43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J473" s="41"/>
      <c r="AM473" s="44"/>
    </row>
    <row r="474">
      <c r="B474" s="39"/>
      <c r="C474" s="40"/>
      <c r="E474" s="40"/>
      <c r="F474" s="40"/>
      <c r="G474" s="40"/>
      <c r="H474" s="40"/>
      <c r="I474" s="41"/>
      <c r="K474" s="42"/>
      <c r="L474" s="42"/>
      <c r="M474" s="41"/>
      <c r="N474" s="43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J474" s="41"/>
      <c r="AM474" s="44"/>
    </row>
    <row r="475">
      <c r="B475" s="39"/>
      <c r="C475" s="40"/>
      <c r="E475" s="40"/>
      <c r="F475" s="40"/>
      <c r="G475" s="40"/>
      <c r="H475" s="40"/>
      <c r="I475" s="41"/>
      <c r="K475" s="42"/>
      <c r="L475" s="42"/>
      <c r="M475" s="41"/>
      <c r="N475" s="43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J475" s="41"/>
      <c r="AM475" s="44"/>
    </row>
    <row r="476">
      <c r="B476" s="39"/>
      <c r="C476" s="40"/>
      <c r="E476" s="40"/>
      <c r="F476" s="40"/>
      <c r="G476" s="40"/>
      <c r="H476" s="40"/>
      <c r="I476" s="41"/>
      <c r="K476" s="42"/>
      <c r="L476" s="42"/>
      <c r="M476" s="41"/>
      <c r="N476" s="43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J476" s="41"/>
      <c r="AM476" s="44"/>
    </row>
    <row r="477">
      <c r="B477" s="39"/>
      <c r="C477" s="40"/>
      <c r="E477" s="40"/>
      <c r="F477" s="40"/>
      <c r="G477" s="40"/>
      <c r="H477" s="40"/>
      <c r="I477" s="41"/>
      <c r="K477" s="42"/>
      <c r="L477" s="42"/>
      <c r="M477" s="41"/>
      <c r="N477" s="43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J477" s="41"/>
      <c r="AM477" s="44"/>
    </row>
    <row r="478">
      <c r="B478" s="39"/>
      <c r="C478" s="40"/>
      <c r="E478" s="40"/>
      <c r="F478" s="40"/>
      <c r="G478" s="40"/>
      <c r="H478" s="40"/>
      <c r="I478" s="41"/>
      <c r="K478" s="42"/>
      <c r="L478" s="42"/>
      <c r="M478" s="41"/>
      <c r="N478" s="43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J478" s="41"/>
      <c r="AM478" s="44"/>
    </row>
    <row r="479">
      <c r="B479" s="39"/>
      <c r="C479" s="40"/>
      <c r="E479" s="40"/>
      <c r="F479" s="40"/>
      <c r="G479" s="40"/>
      <c r="H479" s="40"/>
      <c r="I479" s="41"/>
      <c r="K479" s="42"/>
      <c r="L479" s="42"/>
      <c r="M479" s="41"/>
      <c r="N479" s="43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J479" s="41"/>
      <c r="AM479" s="44"/>
    </row>
    <row r="480">
      <c r="B480" s="39"/>
      <c r="C480" s="40"/>
      <c r="E480" s="40"/>
      <c r="F480" s="40"/>
      <c r="G480" s="40"/>
      <c r="H480" s="40"/>
      <c r="I480" s="41"/>
      <c r="K480" s="42"/>
      <c r="L480" s="42"/>
      <c r="M480" s="41"/>
      <c r="N480" s="43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J480" s="41"/>
      <c r="AM480" s="44"/>
    </row>
    <row r="481">
      <c r="B481" s="39"/>
      <c r="C481" s="40"/>
      <c r="E481" s="40"/>
      <c r="F481" s="40"/>
      <c r="G481" s="40"/>
      <c r="H481" s="40"/>
      <c r="I481" s="41"/>
      <c r="K481" s="42"/>
      <c r="L481" s="42"/>
      <c r="M481" s="41"/>
      <c r="N481" s="43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J481" s="41"/>
      <c r="AM481" s="44"/>
    </row>
    <row r="482">
      <c r="B482" s="39"/>
      <c r="C482" s="40"/>
      <c r="E482" s="40"/>
      <c r="F482" s="40"/>
      <c r="G482" s="40"/>
      <c r="H482" s="40"/>
      <c r="I482" s="41"/>
      <c r="K482" s="42"/>
      <c r="L482" s="42"/>
      <c r="M482" s="41"/>
      <c r="N482" s="43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J482" s="41"/>
      <c r="AM482" s="44"/>
    </row>
    <row r="483">
      <c r="B483" s="39"/>
      <c r="C483" s="40"/>
      <c r="E483" s="40"/>
      <c r="F483" s="40"/>
      <c r="G483" s="40"/>
      <c r="H483" s="40"/>
      <c r="I483" s="41"/>
      <c r="K483" s="42"/>
      <c r="L483" s="42"/>
      <c r="M483" s="41"/>
      <c r="N483" s="43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J483" s="41"/>
      <c r="AM483" s="44"/>
    </row>
    <row r="484">
      <c r="B484" s="39"/>
      <c r="C484" s="40"/>
      <c r="E484" s="40"/>
      <c r="F484" s="40"/>
      <c r="G484" s="40"/>
      <c r="H484" s="40"/>
      <c r="I484" s="41"/>
      <c r="K484" s="42"/>
      <c r="L484" s="42"/>
      <c r="M484" s="41"/>
      <c r="N484" s="43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J484" s="41"/>
      <c r="AM484" s="44"/>
    </row>
    <row r="485">
      <c r="B485" s="39"/>
      <c r="C485" s="40"/>
      <c r="E485" s="40"/>
      <c r="F485" s="40"/>
      <c r="G485" s="40"/>
      <c r="H485" s="40"/>
      <c r="I485" s="41"/>
      <c r="K485" s="42"/>
      <c r="L485" s="42"/>
      <c r="M485" s="41"/>
      <c r="N485" s="43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J485" s="41"/>
      <c r="AM485" s="44"/>
    </row>
    <row r="486">
      <c r="B486" s="39"/>
      <c r="C486" s="40"/>
      <c r="E486" s="40"/>
      <c r="F486" s="40"/>
      <c r="G486" s="40"/>
      <c r="H486" s="40"/>
      <c r="I486" s="41"/>
      <c r="K486" s="42"/>
      <c r="L486" s="42"/>
      <c r="M486" s="41"/>
      <c r="N486" s="43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J486" s="41"/>
      <c r="AM486" s="44"/>
    </row>
    <row r="487">
      <c r="B487" s="39"/>
      <c r="C487" s="40"/>
      <c r="E487" s="40"/>
      <c r="F487" s="40"/>
      <c r="G487" s="40"/>
      <c r="H487" s="40"/>
      <c r="I487" s="41"/>
      <c r="K487" s="42"/>
      <c r="L487" s="42"/>
      <c r="M487" s="41"/>
      <c r="N487" s="43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J487" s="41"/>
      <c r="AM487" s="44"/>
    </row>
    <row r="488">
      <c r="B488" s="39"/>
      <c r="C488" s="40"/>
      <c r="E488" s="40"/>
      <c r="F488" s="40"/>
      <c r="G488" s="40"/>
      <c r="H488" s="40"/>
      <c r="I488" s="41"/>
      <c r="K488" s="42"/>
      <c r="L488" s="42"/>
      <c r="M488" s="41"/>
      <c r="N488" s="43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J488" s="41"/>
      <c r="AM488" s="44"/>
    </row>
    <row r="489">
      <c r="B489" s="39"/>
      <c r="C489" s="40"/>
      <c r="E489" s="40"/>
      <c r="F489" s="40"/>
      <c r="G489" s="40"/>
      <c r="H489" s="40"/>
      <c r="I489" s="41"/>
      <c r="K489" s="42"/>
      <c r="L489" s="42"/>
      <c r="M489" s="41"/>
      <c r="N489" s="43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J489" s="41"/>
      <c r="AM489" s="44"/>
    </row>
    <row r="490">
      <c r="B490" s="39"/>
      <c r="C490" s="40"/>
      <c r="E490" s="40"/>
      <c r="F490" s="40"/>
      <c r="G490" s="40"/>
      <c r="H490" s="40"/>
      <c r="I490" s="41"/>
      <c r="K490" s="42"/>
      <c r="L490" s="42"/>
      <c r="M490" s="41"/>
      <c r="N490" s="43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J490" s="41"/>
      <c r="AM490" s="44"/>
    </row>
    <row r="491">
      <c r="B491" s="39"/>
      <c r="C491" s="40"/>
      <c r="E491" s="40"/>
      <c r="F491" s="40"/>
      <c r="G491" s="40"/>
      <c r="H491" s="40"/>
      <c r="I491" s="41"/>
      <c r="K491" s="42"/>
      <c r="L491" s="42"/>
      <c r="M491" s="41"/>
      <c r="N491" s="43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J491" s="41"/>
      <c r="AM491" s="44"/>
    </row>
    <row r="492">
      <c r="B492" s="39"/>
      <c r="C492" s="40"/>
      <c r="E492" s="40"/>
      <c r="F492" s="40"/>
      <c r="G492" s="40"/>
      <c r="H492" s="40"/>
      <c r="I492" s="41"/>
      <c r="K492" s="42"/>
      <c r="L492" s="42"/>
      <c r="M492" s="41"/>
      <c r="N492" s="43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J492" s="41"/>
      <c r="AM492" s="44"/>
    </row>
    <row r="493">
      <c r="B493" s="39"/>
      <c r="C493" s="40"/>
      <c r="E493" s="40"/>
      <c r="F493" s="40"/>
      <c r="G493" s="40"/>
      <c r="H493" s="40"/>
      <c r="I493" s="41"/>
      <c r="K493" s="42"/>
      <c r="L493" s="42"/>
      <c r="M493" s="41"/>
      <c r="N493" s="43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J493" s="41"/>
      <c r="AM493" s="44"/>
    </row>
    <row r="494">
      <c r="B494" s="39"/>
      <c r="C494" s="40"/>
      <c r="E494" s="40"/>
      <c r="F494" s="40"/>
      <c r="G494" s="40"/>
      <c r="H494" s="40"/>
      <c r="I494" s="41"/>
      <c r="K494" s="42"/>
      <c r="L494" s="42"/>
      <c r="M494" s="41"/>
      <c r="N494" s="43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J494" s="41"/>
      <c r="AM494" s="44"/>
    </row>
    <row r="495">
      <c r="B495" s="39"/>
      <c r="C495" s="40"/>
      <c r="E495" s="40"/>
      <c r="F495" s="40"/>
      <c r="G495" s="40"/>
      <c r="H495" s="40"/>
      <c r="I495" s="41"/>
      <c r="K495" s="42"/>
      <c r="L495" s="42"/>
      <c r="M495" s="41"/>
      <c r="N495" s="43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J495" s="41"/>
      <c r="AM495" s="44"/>
    </row>
    <row r="496">
      <c r="B496" s="39"/>
      <c r="C496" s="40"/>
      <c r="E496" s="40"/>
      <c r="F496" s="40"/>
      <c r="G496" s="40"/>
      <c r="H496" s="40"/>
      <c r="I496" s="41"/>
      <c r="K496" s="42"/>
      <c r="L496" s="42"/>
      <c r="M496" s="41"/>
      <c r="N496" s="43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J496" s="41"/>
      <c r="AM496" s="44"/>
    </row>
    <row r="497">
      <c r="B497" s="39"/>
      <c r="C497" s="40"/>
      <c r="E497" s="40"/>
      <c r="F497" s="40"/>
      <c r="G497" s="40"/>
      <c r="H497" s="40"/>
      <c r="I497" s="41"/>
      <c r="K497" s="42"/>
      <c r="L497" s="42"/>
      <c r="M497" s="41"/>
      <c r="N497" s="43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J497" s="41"/>
      <c r="AM497" s="44"/>
    </row>
    <row r="498">
      <c r="B498" s="39"/>
      <c r="C498" s="40"/>
      <c r="E498" s="40"/>
      <c r="F498" s="40"/>
      <c r="G498" s="40"/>
      <c r="H498" s="40"/>
      <c r="I498" s="41"/>
      <c r="K498" s="42"/>
      <c r="L498" s="42"/>
      <c r="M498" s="41"/>
      <c r="N498" s="43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J498" s="41"/>
      <c r="AM498" s="44"/>
    </row>
    <row r="499">
      <c r="B499" s="39"/>
      <c r="C499" s="40"/>
      <c r="E499" s="40"/>
      <c r="F499" s="40"/>
      <c r="G499" s="40"/>
      <c r="H499" s="40"/>
      <c r="I499" s="41"/>
      <c r="K499" s="42"/>
      <c r="L499" s="42"/>
      <c r="M499" s="41"/>
      <c r="N499" s="43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J499" s="41"/>
      <c r="AM499" s="44"/>
    </row>
    <row r="500">
      <c r="B500" s="39"/>
      <c r="C500" s="40"/>
      <c r="E500" s="40"/>
      <c r="F500" s="40"/>
      <c r="G500" s="40"/>
      <c r="H500" s="40"/>
      <c r="I500" s="41"/>
      <c r="K500" s="42"/>
      <c r="L500" s="42"/>
      <c r="M500" s="41"/>
      <c r="N500" s="43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J500" s="41"/>
      <c r="AM500" s="44"/>
    </row>
    <row r="501">
      <c r="B501" s="39"/>
      <c r="C501" s="40"/>
      <c r="E501" s="40"/>
      <c r="F501" s="40"/>
      <c r="G501" s="40"/>
      <c r="H501" s="40"/>
      <c r="I501" s="41"/>
      <c r="K501" s="42"/>
      <c r="L501" s="42"/>
      <c r="M501" s="41"/>
      <c r="N501" s="43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J501" s="41"/>
      <c r="AM501" s="44"/>
    </row>
    <row r="502">
      <c r="B502" s="39"/>
      <c r="C502" s="40"/>
      <c r="E502" s="40"/>
      <c r="F502" s="40"/>
      <c r="G502" s="40"/>
      <c r="H502" s="40"/>
      <c r="I502" s="41"/>
      <c r="K502" s="42"/>
      <c r="L502" s="42"/>
      <c r="M502" s="41"/>
      <c r="N502" s="43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J502" s="41"/>
      <c r="AM502" s="44"/>
    </row>
    <row r="503">
      <c r="B503" s="39"/>
      <c r="C503" s="40"/>
      <c r="E503" s="40"/>
      <c r="F503" s="40"/>
      <c r="G503" s="40"/>
      <c r="H503" s="40"/>
      <c r="I503" s="41"/>
      <c r="K503" s="42"/>
      <c r="L503" s="42"/>
      <c r="M503" s="41"/>
      <c r="N503" s="43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J503" s="41"/>
      <c r="AM503" s="44"/>
    </row>
    <row r="504">
      <c r="B504" s="39"/>
      <c r="C504" s="40"/>
      <c r="E504" s="40"/>
      <c r="F504" s="40"/>
      <c r="G504" s="40"/>
      <c r="H504" s="40"/>
      <c r="I504" s="41"/>
      <c r="K504" s="42"/>
      <c r="L504" s="42"/>
      <c r="M504" s="41"/>
      <c r="N504" s="43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J504" s="41"/>
      <c r="AM504" s="44"/>
    </row>
    <row r="505">
      <c r="B505" s="39"/>
      <c r="C505" s="40"/>
      <c r="E505" s="40"/>
      <c r="F505" s="40"/>
      <c r="G505" s="40"/>
      <c r="H505" s="40"/>
      <c r="I505" s="41"/>
      <c r="K505" s="42"/>
      <c r="L505" s="42"/>
      <c r="M505" s="41"/>
      <c r="N505" s="43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J505" s="41"/>
      <c r="AM505" s="44"/>
    </row>
    <row r="506">
      <c r="B506" s="39"/>
      <c r="C506" s="40"/>
      <c r="E506" s="40"/>
      <c r="F506" s="40"/>
      <c r="G506" s="40"/>
      <c r="H506" s="40"/>
      <c r="I506" s="41"/>
      <c r="K506" s="42"/>
      <c r="L506" s="42"/>
      <c r="M506" s="41"/>
      <c r="N506" s="43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J506" s="41"/>
      <c r="AM506" s="44"/>
    </row>
    <row r="507">
      <c r="B507" s="39"/>
      <c r="C507" s="40"/>
      <c r="E507" s="40"/>
      <c r="F507" s="40"/>
      <c r="G507" s="40"/>
      <c r="H507" s="40"/>
      <c r="I507" s="41"/>
      <c r="K507" s="42"/>
      <c r="L507" s="42"/>
      <c r="M507" s="41"/>
      <c r="N507" s="43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J507" s="41"/>
      <c r="AM507" s="44"/>
    </row>
    <row r="508">
      <c r="B508" s="39"/>
      <c r="C508" s="40"/>
      <c r="E508" s="40"/>
      <c r="F508" s="40"/>
      <c r="G508" s="40"/>
      <c r="H508" s="40"/>
      <c r="I508" s="41"/>
      <c r="K508" s="42"/>
      <c r="L508" s="42"/>
      <c r="M508" s="41"/>
      <c r="N508" s="43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J508" s="41"/>
      <c r="AM508" s="44"/>
    </row>
    <row r="509">
      <c r="B509" s="39"/>
      <c r="C509" s="40"/>
      <c r="E509" s="40"/>
      <c r="F509" s="40"/>
      <c r="G509" s="40"/>
      <c r="H509" s="40"/>
      <c r="I509" s="41"/>
      <c r="K509" s="42"/>
      <c r="L509" s="42"/>
      <c r="M509" s="41"/>
      <c r="N509" s="43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J509" s="41"/>
      <c r="AM509" s="44"/>
    </row>
    <row r="510">
      <c r="B510" s="39"/>
      <c r="C510" s="40"/>
      <c r="E510" s="40"/>
      <c r="F510" s="40"/>
      <c r="G510" s="40"/>
      <c r="H510" s="40"/>
      <c r="I510" s="41"/>
      <c r="K510" s="42"/>
      <c r="L510" s="42"/>
      <c r="M510" s="41"/>
      <c r="N510" s="43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J510" s="41"/>
      <c r="AM510" s="44"/>
    </row>
    <row r="511">
      <c r="B511" s="39"/>
      <c r="C511" s="40"/>
      <c r="E511" s="40"/>
      <c r="F511" s="40"/>
      <c r="G511" s="40"/>
      <c r="H511" s="40"/>
      <c r="I511" s="41"/>
      <c r="K511" s="42"/>
      <c r="L511" s="42"/>
      <c r="M511" s="41"/>
      <c r="N511" s="43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J511" s="41"/>
      <c r="AM511" s="44"/>
    </row>
    <row r="512">
      <c r="B512" s="39"/>
      <c r="C512" s="40"/>
      <c r="E512" s="40"/>
      <c r="F512" s="40"/>
      <c r="G512" s="40"/>
      <c r="H512" s="40"/>
      <c r="I512" s="41"/>
      <c r="K512" s="42"/>
      <c r="L512" s="42"/>
      <c r="M512" s="41"/>
      <c r="N512" s="43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J512" s="41"/>
      <c r="AM512" s="44"/>
    </row>
    <row r="513">
      <c r="B513" s="39"/>
      <c r="C513" s="40"/>
      <c r="E513" s="40"/>
      <c r="F513" s="40"/>
      <c r="G513" s="40"/>
      <c r="H513" s="40"/>
      <c r="I513" s="41"/>
      <c r="K513" s="42"/>
      <c r="L513" s="42"/>
      <c r="M513" s="41"/>
      <c r="N513" s="43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J513" s="41"/>
      <c r="AM513" s="44"/>
    </row>
    <row r="514">
      <c r="B514" s="39"/>
      <c r="C514" s="40"/>
      <c r="E514" s="40"/>
      <c r="F514" s="40"/>
      <c r="G514" s="40"/>
      <c r="H514" s="40"/>
      <c r="I514" s="41"/>
      <c r="K514" s="42"/>
      <c r="L514" s="42"/>
      <c r="M514" s="41"/>
      <c r="N514" s="43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J514" s="41"/>
      <c r="AM514" s="44"/>
    </row>
    <row r="515">
      <c r="B515" s="39"/>
      <c r="C515" s="40"/>
      <c r="E515" s="40"/>
      <c r="F515" s="40"/>
      <c r="G515" s="40"/>
      <c r="H515" s="40"/>
      <c r="I515" s="41"/>
      <c r="K515" s="42"/>
      <c r="L515" s="42"/>
      <c r="M515" s="41"/>
      <c r="N515" s="43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J515" s="41"/>
      <c r="AM515" s="44"/>
    </row>
    <row r="516">
      <c r="B516" s="39"/>
      <c r="C516" s="40"/>
      <c r="E516" s="40"/>
      <c r="F516" s="40"/>
      <c r="G516" s="40"/>
      <c r="H516" s="40"/>
      <c r="I516" s="41"/>
      <c r="K516" s="42"/>
      <c r="L516" s="42"/>
      <c r="M516" s="41"/>
      <c r="N516" s="43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J516" s="41"/>
      <c r="AM516" s="44"/>
    </row>
    <row r="517">
      <c r="B517" s="39"/>
      <c r="C517" s="40"/>
      <c r="E517" s="40"/>
      <c r="F517" s="40"/>
      <c r="G517" s="40"/>
      <c r="H517" s="40"/>
      <c r="I517" s="41"/>
      <c r="K517" s="42"/>
      <c r="L517" s="42"/>
      <c r="M517" s="41"/>
      <c r="N517" s="43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J517" s="41"/>
      <c r="AM517" s="44"/>
    </row>
    <row r="518">
      <c r="B518" s="39"/>
      <c r="C518" s="40"/>
      <c r="E518" s="40"/>
      <c r="F518" s="40"/>
      <c r="G518" s="40"/>
      <c r="H518" s="40"/>
      <c r="I518" s="41"/>
      <c r="K518" s="42"/>
      <c r="L518" s="42"/>
      <c r="M518" s="41"/>
      <c r="N518" s="43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J518" s="41"/>
      <c r="AM518" s="44"/>
    </row>
    <row r="519">
      <c r="B519" s="39"/>
      <c r="C519" s="40"/>
      <c r="E519" s="40"/>
      <c r="F519" s="40"/>
      <c r="G519" s="40"/>
      <c r="H519" s="40"/>
      <c r="I519" s="41"/>
      <c r="K519" s="42"/>
      <c r="L519" s="42"/>
      <c r="M519" s="41"/>
      <c r="N519" s="43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J519" s="41"/>
      <c r="AM519" s="44"/>
    </row>
    <row r="520">
      <c r="B520" s="39"/>
      <c r="C520" s="40"/>
      <c r="E520" s="40"/>
      <c r="F520" s="40"/>
      <c r="G520" s="40"/>
      <c r="H520" s="40"/>
      <c r="I520" s="41"/>
      <c r="K520" s="42"/>
      <c r="L520" s="42"/>
      <c r="M520" s="41"/>
      <c r="N520" s="43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J520" s="41"/>
      <c r="AM520" s="44"/>
    </row>
    <row r="521">
      <c r="B521" s="39"/>
      <c r="C521" s="40"/>
      <c r="E521" s="40"/>
      <c r="F521" s="40"/>
      <c r="G521" s="40"/>
      <c r="H521" s="40"/>
      <c r="I521" s="41"/>
      <c r="K521" s="42"/>
      <c r="L521" s="42"/>
      <c r="M521" s="41"/>
      <c r="N521" s="43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J521" s="41"/>
      <c r="AM521" s="44"/>
    </row>
    <row r="522">
      <c r="B522" s="39"/>
      <c r="C522" s="40"/>
      <c r="E522" s="40"/>
      <c r="F522" s="40"/>
      <c r="G522" s="40"/>
      <c r="H522" s="40"/>
      <c r="I522" s="41"/>
      <c r="K522" s="42"/>
      <c r="L522" s="42"/>
      <c r="M522" s="41"/>
      <c r="N522" s="43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J522" s="41"/>
      <c r="AM522" s="44"/>
    </row>
    <row r="523">
      <c r="B523" s="39"/>
      <c r="C523" s="40"/>
      <c r="E523" s="40"/>
      <c r="F523" s="40"/>
      <c r="G523" s="40"/>
      <c r="H523" s="40"/>
      <c r="I523" s="41"/>
      <c r="K523" s="42"/>
      <c r="L523" s="42"/>
      <c r="M523" s="41"/>
      <c r="N523" s="43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J523" s="41"/>
      <c r="AM523" s="44"/>
    </row>
    <row r="524">
      <c r="B524" s="39"/>
      <c r="C524" s="40"/>
      <c r="E524" s="40"/>
      <c r="F524" s="40"/>
      <c r="G524" s="40"/>
      <c r="H524" s="40"/>
      <c r="I524" s="41"/>
      <c r="K524" s="42"/>
      <c r="L524" s="42"/>
      <c r="M524" s="41"/>
      <c r="N524" s="43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J524" s="41"/>
      <c r="AM524" s="44"/>
    </row>
    <row r="525">
      <c r="B525" s="39"/>
      <c r="C525" s="40"/>
      <c r="E525" s="40"/>
      <c r="F525" s="40"/>
      <c r="G525" s="40"/>
      <c r="H525" s="40"/>
      <c r="I525" s="41"/>
      <c r="K525" s="42"/>
      <c r="L525" s="42"/>
      <c r="M525" s="41"/>
      <c r="N525" s="43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J525" s="41"/>
      <c r="AM525" s="44"/>
    </row>
    <row r="526">
      <c r="B526" s="39"/>
      <c r="C526" s="40"/>
      <c r="E526" s="40"/>
      <c r="F526" s="40"/>
      <c r="G526" s="40"/>
      <c r="H526" s="40"/>
      <c r="I526" s="41"/>
      <c r="K526" s="42"/>
      <c r="L526" s="42"/>
      <c r="M526" s="41"/>
      <c r="N526" s="43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J526" s="41"/>
      <c r="AM526" s="44"/>
    </row>
    <row r="527">
      <c r="B527" s="39"/>
      <c r="C527" s="40"/>
      <c r="E527" s="40"/>
      <c r="F527" s="40"/>
      <c r="G527" s="40"/>
      <c r="H527" s="40"/>
      <c r="I527" s="41"/>
      <c r="K527" s="42"/>
      <c r="L527" s="42"/>
      <c r="M527" s="41"/>
      <c r="N527" s="43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J527" s="41"/>
      <c r="AM527" s="44"/>
    </row>
    <row r="528">
      <c r="B528" s="39"/>
      <c r="C528" s="40"/>
      <c r="E528" s="40"/>
      <c r="F528" s="40"/>
      <c r="G528" s="40"/>
      <c r="H528" s="40"/>
      <c r="I528" s="41"/>
      <c r="K528" s="42"/>
      <c r="L528" s="42"/>
      <c r="M528" s="41"/>
      <c r="N528" s="43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J528" s="41"/>
      <c r="AM528" s="44"/>
    </row>
    <row r="529">
      <c r="B529" s="39"/>
      <c r="C529" s="40"/>
      <c r="E529" s="40"/>
      <c r="F529" s="40"/>
      <c r="G529" s="40"/>
      <c r="H529" s="40"/>
      <c r="I529" s="41"/>
      <c r="K529" s="42"/>
      <c r="L529" s="42"/>
      <c r="M529" s="41"/>
      <c r="N529" s="43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J529" s="41"/>
      <c r="AM529" s="44"/>
    </row>
    <row r="530">
      <c r="B530" s="39"/>
      <c r="C530" s="40"/>
      <c r="E530" s="40"/>
      <c r="F530" s="40"/>
      <c r="G530" s="40"/>
      <c r="H530" s="40"/>
      <c r="I530" s="41"/>
      <c r="K530" s="42"/>
      <c r="L530" s="42"/>
      <c r="M530" s="41"/>
      <c r="N530" s="43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J530" s="41"/>
      <c r="AM530" s="44"/>
    </row>
    <row r="531">
      <c r="B531" s="39"/>
      <c r="C531" s="40"/>
      <c r="E531" s="40"/>
      <c r="F531" s="40"/>
      <c r="G531" s="40"/>
      <c r="H531" s="40"/>
      <c r="I531" s="41"/>
      <c r="K531" s="42"/>
      <c r="L531" s="42"/>
      <c r="M531" s="41"/>
      <c r="N531" s="43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J531" s="41"/>
      <c r="AM531" s="44"/>
    </row>
    <row r="532">
      <c r="B532" s="39"/>
      <c r="C532" s="40"/>
      <c r="E532" s="40"/>
      <c r="F532" s="40"/>
      <c r="G532" s="40"/>
      <c r="H532" s="40"/>
      <c r="I532" s="41"/>
      <c r="K532" s="42"/>
      <c r="L532" s="42"/>
      <c r="M532" s="41"/>
      <c r="N532" s="43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J532" s="41"/>
      <c r="AM532" s="44"/>
    </row>
    <row r="533">
      <c r="B533" s="39"/>
      <c r="C533" s="40"/>
      <c r="E533" s="40"/>
      <c r="F533" s="40"/>
      <c r="G533" s="40"/>
      <c r="H533" s="40"/>
      <c r="I533" s="41"/>
      <c r="K533" s="42"/>
      <c r="L533" s="42"/>
      <c r="M533" s="41"/>
      <c r="N533" s="43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J533" s="41"/>
      <c r="AM533" s="44"/>
    </row>
    <row r="534">
      <c r="B534" s="39"/>
      <c r="C534" s="40"/>
      <c r="E534" s="40"/>
      <c r="F534" s="40"/>
      <c r="G534" s="40"/>
      <c r="H534" s="40"/>
      <c r="I534" s="41"/>
      <c r="K534" s="42"/>
      <c r="L534" s="42"/>
      <c r="M534" s="41"/>
      <c r="N534" s="43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J534" s="41"/>
      <c r="AM534" s="44"/>
    </row>
    <row r="535">
      <c r="B535" s="39"/>
      <c r="C535" s="40"/>
      <c r="E535" s="40"/>
      <c r="F535" s="40"/>
      <c r="G535" s="40"/>
      <c r="H535" s="40"/>
      <c r="I535" s="41"/>
      <c r="K535" s="42"/>
      <c r="L535" s="42"/>
      <c r="M535" s="41"/>
      <c r="N535" s="43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J535" s="41"/>
      <c r="AM535" s="44"/>
    </row>
    <row r="536">
      <c r="B536" s="39"/>
      <c r="C536" s="40"/>
      <c r="E536" s="40"/>
      <c r="F536" s="40"/>
      <c r="G536" s="40"/>
      <c r="H536" s="40"/>
      <c r="I536" s="41"/>
      <c r="K536" s="42"/>
      <c r="L536" s="42"/>
      <c r="M536" s="41"/>
      <c r="N536" s="43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J536" s="41"/>
      <c r="AM536" s="44"/>
    </row>
    <row r="537">
      <c r="B537" s="39"/>
      <c r="C537" s="40"/>
      <c r="E537" s="40"/>
      <c r="F537" s="40"/>
      <c r="G537" s="40"/>
      <c r="H537" s="40"/>
      <c r="I537" s="41"/>
      <c r="K537" s="42"/>
      <c r="L537" s="42"/>
      <c r="M537" s="41"/>
      <c r="N537" s="43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J537" s="41"/>
      <c r="AM537" s="44"/>
    </row>
    <row r="538">
      <c r="B538" s="39"/>
      <c r="C538" s="40"/>
      <c r="E538" s="40"/>
      <c r="F538" s="40"/>
      <c r="G538" s="40"/>
      <c r="H538" s="40"/>
      <c r="I538" s="41"/>
      <c r="K538" s="42"/>
      <c r="L538" s="42"/>
      <c r="M538" s="41"/>
      <c r="N538" s="43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J538" s="41"/>
      <c r="AM538" s="44"/>
    </row>
    <row r="539">
      <c r="B539" s="39"/>
      <c r="C539" s="40"/>
      <c r="E539" s="40"/>
      <c r="F539" s="40"/>
      <c r="G539" s="40"/>
      <c r="H539" s="40"/>
      <c r="I539" s="41"/>
      <c r="K539" s="42"/>
      <c r="L539" s="42"/>
      <c r="M539" s="41"/>
      <c r="N539" s="43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J539" s="41"/>
      <c r="AM539" s="44"/>
    </row>
    <row r="540">
      <c r="B540" s="39"/>
      <c r="C540" s="40"/>
      <c r="E540" s="40"/>
      <c r="F540" s="40"/>
      <c r="G540" s="40"/>
      <c r="H540" s="40"/>
      <c r="I540" s="41"/>
      <c r="K540" s="42"/>
      <c r="L540" s="42"/>
      <c r="M540" s="41"/>
      <c r="N540" s="43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J540" s="41"/>
      <c r="AM540" s="44"/>
    </row>
    <row r="541">
      <c r="B541" s="39"/>
      <c r="C541" s="40"/>
      <c r="E541" s="40"/>
      <c r="F541" s="40"/>
      <c r="G541" s="40"/>
      <c r="H541" s="40"/>
      <c r="I541" s="41"/>
      <c r="K541" s="42"/>
      <c r="L541" s="42"/>
      <c r="M541" s="41"/>
      <c r="N541" s="43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J541" s="41"/>
      <c r="AM541" s="44"/>
    </row>
    <row r="542">
      <c r="B542" s="39"/>
      <c r="C542" s="40"/>
      <c r="E542" s="40"/>
      <c r="F542" s="40"/>
      <c r="G542" s="40"/>
      <c r="H542" s="40"/>
      <c r="I542" s="41"/>
      <c r="K542" s="42"/>
      <c r="L542" s="42"/>
      <c r="M542" s="41"/>
      <c r="N542" s="43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J542" s="41"/>
      <c r="AM542" s="44"/>
    </row>
    <row r="543">
      <c r="B543" s="39"/>
      <c r="C543" s="40"/>
      <c r="E543" s="40"/>
      <c r="F543" s="40"/>
      <c r="G543" s="40"/>
      <c r="H543" s="40"/>
      <c r="I543" s="41"/>
      <c r="K543" s="42"/>
      <c r="L543" s="42"/>
      <c r="M543" s="41"/>
      <c r="N543" s="43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J543" s="41"/>
      <c r="AM543" s="44"/>
    </row>
    <row r="544">
      <c r="B544" s="39"/>
      <c r="C544" s="40"/>
      <c r="E544" s="40"/>
      <c r="F544" s="40"/>
      <c r="G544" s="40"/>
      <c r="H544" s="40"/>
      <c r="I544" s="41"/>
      <c r="K544" s="42"/>
      <c r="L544" s="42"/>
      <c r="M544" s="41"/>
      <c r="N544" s="43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J544" s="41"/>
      <c r="AM544" s="44"/>
    </row>
    <row r="545">
      <c r="B545" s="39"/>
      <c r="C545" s="40"/>
      <c r="E545" s="40"/>
      <c r="F545" s="40"/>
      <c r="G545" s="40"/>
      <c r="H545" s="40"/>
      <c r="I545" s="41"/>
      <c r="K545" s="42"/>
      <c r="L545" s="42"/>
      <c r="M545" s="41"/>
      <c r="N545" s="43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J545" s="41"/>
      <c r="AM545" s="44"/>
    </row>
    <row r="546">
      <c r="B546" s="39"/>
      <c r="C546" s="40"/>
      <c r="E546" s="40"/>
      <c r="F546" s="40"/>
      <c r="G546" s="40"/>
      <c r="H546" s="40"/>
      <c r="I546" s="41"/>
      <c r="K546" s="42"/>
      <c r="L546" s="42"/>
      <c r="M546" s="41"/>
      <c r="N546" s="43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J546" s="41"/>
      <c r="AM546" s="44"/>
    </row>
    <row r="547">
      <c r="B547" s="39"/>
      <c r="C547" s="40"/>
      <c r="E547" s="40"/>
      <c r="F547" s="40"/>
      <c r="G547" s="40"/>
      <c r="H547" s="40"/>
      <c r="I547" s="41"/>
      <c r="K547" s="42"/>
      <c r="L547" s="42"/>
      <c r="M547" s="41"/>
      <c r="N547" s="43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J547" s="41"/>
      <c r="AM547" s="44"/>
    </row>
    <row r="548">
      <c r="B548" s="39"/>
      <c r="C548" s="40"/>
      <c r="E548" s="40"/>
      <c r="F548" s="40"/>
      <c r="G548" s="40"/>
      <c r="H548" s="40"/>
      <c r="I548" s="41"/>
      <c r="K548" s="42"/>
      <c r="L548" s="42"/>
      <c r="M548" s="41"/>
      <c r="N548" s="43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J548" s="41"/>
      <c r="AM548" s="44"/>
    </row>
    <row r="549">
      <c r="B549" s="39"/>
      <c r="C549" s="40"/>
      <c r="E549" s="40"/>
      <c r="F549" s="40"/>
      <c r="G549" s="40"/>
      <c r="H549" s="40"/>
      <c r="I549" s="41"/>
      <c r="K549" s="42"/>
      <c r="L549" s="42"/>
      <c r="M549" s="41"/>
      <c r="N549" s="43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J549" s="41"/>
      <c r="AM549" s="44"/>
    </row>
    <row r="550">
      <c r="B550" s="39"/>
      <c r="C550" s="40"/>
      <c r="E550" s="40"/>
      <c r="F550" s="40"/>
      <c r="G550" s="40"/>
      <c r="H550" s="40"/>
      <c r="I550" s="41"/>
      <c r="K550" s="42"/>
      <c r="L550" s="42"/>
      <c r="M550" s="41"/>
      <c r="N550" s="43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J550" s="41"/>
      <c r="AM550" s="44"/>
    </row>
    <row r="551">
      <c r="B551" s="39"/>
      <c r="C551" s="40"/>
      <c r="E551" s="40"/>
      <c r="F551" s="40"/>
      <c r="G551" s="40"/>
      <c r="H551" s="40"/>
      <c r="I551" s="41"/>
      <c r="K551" s="42"/>
      <c r="L551" s="42"/>
      <c r="M551" s="41"/>
      <c r="N551" s="43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J551" s="41"/>
      <c r="AM551" s="44"/>
    </row>
    <row r="552">
      <c r="B552" s="39"/>
      <c r="C552" s="40"/>
      <c r="E552" s="40"/>
      <c r="F552" s="40"/>
      <c r="G552" s="40"/>
      <c r="H552" s="40"/>
      <c r="I552" s="41"/>
      <c r="K552" s="42"/>
      <c r="L552" s="42"/>
      <c r="M552" s="41"/>
      <c r="N552" s="43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J552" s="41"/>
      <c r="AM552" s="44"/>
    </row>
    <row r="553">
      <c r="B553" s="39"/>
      <c r="C553" s="40"/>
      <c r="E553" s="40"/>
      <c r="F553" s="40"/>
      <c r="G553" s="40"/>
      <c r="H553" s="40"/>
      <c r="I553" s="41"/>
      <c r="K553" s="42"/>
      <c r="L553" s="42"/>
      <c r="M553" s="41"/>
      <c r="N553" s="43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J553" s="41"/>
      <c r="AM553" s="44"/>
    </row>
    <row r="554">
      <c r="B554" s="39"/>
      <c r="C554" s="40"/>
      <c r="E554" s="40"/>
      <c r="F554" s="40"/>
      <c r="G554" s="40"/>
      <c r="H554" s="40"/>
      <c r="I554" s="41"/>
      <c r="K554" s="42"/>
      <c r="L554" s="42"/>
      <c r="M554" s="41"/>
      <c r="N554" s="43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J554" s="41"/>
      <c r="AM554" s="44"/>
    </row>
    <row r="555">
      <c r="B555" s="39"/>
      <c r="C555" s="40"/>
      <c r="E555" s="40"/>
      <c r="F555" s="40"/>
      <c r="G555" s="40"/>
      <c r="H555" s="40"/>
      <c r="I555" s="41"/>
      <c r="K555" s="42"/>
      <c r="L555" s="42"/>
      <c r="M555" s="41"/>
      <c r="N555" s="43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J555" s="41"/>
      <c r="AM555" s="44"/>
    </row>
    <row r="556">
      <c r="B556" s="39"/>
      <c r="C556" s="40"/>
      <c r="E556" s="40"/>
      <c r="F556" s="40"/>
      <c r="G556" s="40"/>
      <c r="H556" s="40"/>
      <c r="I556" s="41"/>
      <c r="K556" s="42"/>
      <c r="L556" s="42"/>
      <c r="M556" s="41"/>
      <c r="N556" s="43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J556" s="41"/>
      <c r="AM556" s="44"/>
    </row>
    <row r="557">
      <c r="B557" s="39"/>
      <c r="C557" s="40"/>
      <c r="E557" s="40"/>
      <c r="F557" s="40"/>
      <c r="G557" s="40"/>
      <c r="H557" s="40"/>
      <c r="I557" s="41"/>
      <c r="K557" s="42"/>
      <c r="L557" s="42"/>
      <c r="M557" s="41"/>
      <c r="N557" s="43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J557" s="41"/>
      <c r="AM557" s="44"/>
    </row>
    <row r="558">
      <c r="B558" s="39"/>
      <c r="C558" s="40"/>
      <c r="E558" s="40"/>
      <c r="F558" s="40"/>
      <c r="G558" s="40"/>
      <c r="H558" s="40"/>
      <c r="I558" s="41"/>
      <c r="K558" s="42"/>
      <c r="L558" s="42"/>
      <c r="M558" s="41"/>
      <c r="N558" s="43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J558" s="41"/>
      <c r="AM558" s="44"/>
    </row>
    <row r="559">
      <c r="B559" s="39"/>
      <c r="C559" s="40"/>
      <c r="E559" s="40"/>
      <c r="F559" s="40"/>
      <c r="G559" s="40"/>
      <c r="H559" s="40"/>
      <c r="I559" s="41"/>
      <c r="K559" s="42"/>
      <c r="L559" s="42"/>
      <c r="M559" s="41"/>
      <c r="N559" s="43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J559" s="41"/>
      <c r="AM559" s="44"/>
    </row>
    <row r="560">
      <c r="B560" s="39"/>
      <c r="C560" s="40"/>
      <c r="E560" s="40"/>
      <c r="F560" s="40"/>
      <c r="G560" s="40"/>
      <c r="H560" s="40"/>
      <c r="I560" s="41"/>
      <c r="K560" s="42"/>
      <c r="L560" s="42"/>
      <c r="M560" s="41"/>
      <c r="N560" s="43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J560" s="41"/>
      <c r="AM560" s="44"/>
    </row>
    <row r="561">
      <c r="B561" s="39"/>
      <c r="C561" s="40"/>
      <c r="E561" s="40"/>
      <c r="F561" s="40"/>
      <c r="G561" s="40"/>
      <c r="H561" s="40"/>
      <c r="I561" s="41"/>
      <c r="K561" s="42"/>
      <c r="L561" s="42"/>
      <c r="M561" s="41"/>
      <c r="N561" s="43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J561" s="41"/>
      <c r="AM561" s="44"/>
    </row>
    <row r="562">
      <c r="B562" s="39"/>
      <c r="C562" s="40"/>
      <c r="E562" s="40"/>
      <c r="F562" s="40"/>
      <c r="G562" s="40"/>
      <c r="H562" s="40"/>
      <c r="I562" s="41"/>
      <c r="K562" s="42"/>
      <c r="L562" s="42"/>
      <c r="M562" s="41"/>
      <c r="N562" s="43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J562" s="41"/>
      <c r="AM562" s="44"/>
    </row>
    <row r="563">
      <c r="B563" s="39"/>
      <c r="C563" s="40"/>
      <c r="E563" s="40"/>
      <c r="F563" s="40"/>
      <c r="G563" s="40"/>
      <c r="H563" s="40"/>
      <c r="I563" s="41"/>
      <c r="K563" s="42"/>
      <c r="L563" s="42"/>
      <c r="M563" s="41"/>
      <c r="N563" s="43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J563" s="41"/>
      <c r="AM563" s="44"/>
    </row>
    <row r="564">
      <c r="B564" s="39"/>
      <c r="C564" s="40"/>
      <c r="E564" s="40"/>
      <c r="F564" s="40"/>
      <c r="G564" s="40"/>
      <c r="H564" s="40"/>
      <c r="I564" s="41"/>
      <c r="K564" s="42"/>
      <c r="L564" s="42"/>
      <c r="M564" s="41"/>
      <c r="N564" s="43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J564" s="41"/>
      <c r="AM564" s="44"/>
    </row>
    <row r="565">
      <c r="B565" s="39"/>
      <c r="C565" s="40"/>
      <c r="E565" s="40"/>
      <c r="F565" s="40"/>
      <c r="G565" s="40"/>
      <c r="H565" s="40"/>
      <c r="I565" s="41"/>
      <c r="K565" s="42"/>
      <c r="L565" s="42"/>
      <c r="M565" s="41"/>
      <c r="N565" s="43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J565" s="41"/>
      <c r="AM565" s="44"/>
    </row>
    <row r="566">
      <c r="B566" s="39"/>
      <c r="C566" s="40"/>
      <c r="E566" s="40"/>
      <c r="F566" s="40"/>
      <c r="G566" s="40"/>
      <c r="H566" s="40"/>
      <c r="I566" s="41"/>
      <c r="K566" s="42"/>
      <c r="L566" s="42"/>
      <c r="M566" s="41"/>
      <c r="N566" s="43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J566" s="41"/>
      <c r="AM566" s="44"/>
    </row>
    <row r="567">
      <c r="B567" s="39"/>
      <c r="C567" s="40"/>
      <c r="E567" s="40"/>
      <c r="F567" s="40"/>
      <c r="G567" s="40"/>
      <c r="H567" s="40"/>
      <c r="I567" s="41"/>
      <c r="K567" s="42"/>
      <c r="L567" s="42"/>
      <c r="M567" s="41"/>
      <c r="N567" s="43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J567" s="41"/>
      <c r="AM567" s="44"/>
    </row>
    <row r="568">
      <c r="B568" s="39"/>
      <c r="C568" s="40"/>
      <c r="E568" s="40"/>
      <c r="F568" s="40"/>
      <c r="G568" s="40"/>
      <c r="H568" s="40"/>
      <c r="I568" s="41"/>
      <c r="K568" s="42"/>
      <c r="L568" s="42"/>
      <c r="M568" s="41"/>
      <c r="N568" s="43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J568" s="41"/>
      <c r="AM568" s="44"/>
    </row>
    <row r="569">
      <c r="B569" s="39"/>
      <c r="C569" s="40"/>
      <c r="E569" s="40"/>
      <c r="F569" s="40"/>
      <c r="G569" s="40"/>
      <c r="H569" s="40"/>
      <c r="I569" s="41"/>
      <c r="K569" s="42"/>
      <c r="L569" s="42"/>
      <c r="M569" s="41"/>
      <c r="N569" s="43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J569" s="41"/>
      <c r="AM569" s="44"/>
    </row>
    <row r="570">
      <c r="B570" s="39"/>
      <c r="C570" s="40"/>
      <c r="E570" s="40"/>
      <c r="F570" s="40"/>
      <c r="G570" s="40"/>
      <c r="H570" s="40"/>
      <c r="I570" s="41"/>
      <c r="K570" s="42"/>
      <c r="L570" s="42"/>
      <c r="M570" s="41"/>
      <c r="N570" s="43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J570" s="41"/>
      <c r="AM570" s="44"/>
    </row>
    <row r="571">
      <c r="B571" s="39"/>
      <c r="C571" s="40"/>
      <c r="E571" s="40"/>
      <c r="F571" s="40"/>
      <c r="G571" s="40"/>
      <c r="H571" s="40"/>
      <c r="I571" s="41"/>
      <c r="K571" s="42"/>
      <c r="L571" s="42"/>
      <c r="M571" s="41"/>
      <c r="N571" s="43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J571" s="41"/>
      <c r="AM571" s="44"/>
    </row>
    <row r="572">
      <c r="B572" s="39"/>
      <c r="C572" s="40"/>
      <c r="E572" s="40"/>
      <c r="F572" s="40"/>
      <c r="G572" s="40"/>
      <c r="H572" s="40"/>
      <c r="I572" s="41"/>
      <c r="K572" s="42"/>
      <c r="L572" s="42"/>
      <c r="M572" s="41"/>
      <c r="N572" s="43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J572" s="41"/>
      <c r="AM572" s="44"/>
    </row>
    <row r="573">
      <c r="B573" s="39"/>
      <c r="C573" s="40"/>
      <c r="E573" s="40"/>
      <c r="F573" s="40"/>
      <c r="G573" s="40"/>
      <c r="H573" s="40"/>
      <c r="I573" s="41"/>
      <c r="K573" s="42"/>
      <c r="L573" s="42"/>
      <c r="M573" s="41"/>
      <c r="N573" s="43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J573" s="41"/>
      <c r="AM573" s="44"/>
    </row>
    <row r="574">
      <c r="B574" s="39"/>
      <c r="C574" s="40"/>
      <c r="E574" s="40"/>
      <c r="F574" s="40"/>
      <c r="G574" s="40"/>
      <c r="H574" s="40"/>
      <c r="I574" s="41"/>
      <c r="K574" s="42"/>
      <c r="L574" s="42"/>
      <c r="M574" s="41"/>
      <c r="N574" s="43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J574" s="41"/>
      <c r="AM574" s="44"/>
    </row>
    <row r="575">
      <c r="B575" s="39"/>
      <c r="C575" s="40"/>
      <c r="E575" s="40"/>
      <c r="F575" s="40"/>
      <c r="G575" s="40"/>
      <c r="H575" s="40"/>
      <c r="I575" s="41"/>
      <c r="K575" s="42"/>
      <c r="L575" s="42"/>
      <c r="M575" s="41"/>
      <c r="N575" s="43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J575" s="41"/>
      <c r="AM575" s="44"/>
    </row>
    <row r="576">
      <c r="B576" s="39"/>
      <c r="C576" s="40"/>
      <c r="E576" s="40"/>
      <c r="F576" s="40"/>
      <c r="G576" s="40"/>
      <c r="H576" s="40"/>
      <c r="I576" s="41"/>
      <c r="K576" s="42"/>
      <c r="L576" s="42"/>
      <c r="M576" s="41"/>
      <c r="N576" s="43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J576" s="41"/>
      <c r="AM576" s="44"/>
    </row>
    <row r="577">
      <c r="B577" s="39"/>
      <c r="C577" s="40"/>
      <c r="E577" s="40"/>
      <c r="F577" s="40"/>
      <c r="G577" s="40"/>
      <c r="H577" s="40"/>
      <c r="I577" s="41"/>
      <c r="K577" s="42"/>
      <c r="L577" s="42"/>
      <c r="M577" s="41"/>
      <c r="N577" s="43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J577" s="41"/>
      <c r="AM577" s="44"/>
    </row>
    <row r="578">
      <c r="B578" s="39"/>
      <c r="C578" s="40"/>
      <c r="E578" s="40"/>
      <c r="F578" s="40"/>
      <c r="G578" s="40"/>
      <c r="H578" s="40"/>
      <c r="I578" s="41"/>
      <c r="K578" s="42"/>
      <c r="L578" s="42"/>
      <c r="M578" s="41"/>
      <c r="N578" s="43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J578" s="41"/>
      <c r="AM578" s="44"/>
    </row>
    <row r="579">
      <c r="B579" s="39"/>
      <c r="C579" s="40"/>
      <c r="E579" s="40"/>
      <c r="F579" s="40"/>
      <c r="G579" s="40"/>
      <c r="H579" s="40"/>
      <c r="I579" s="41"/>
      <c r="K579" s="42"/>
      <c r="L579" s="42"/>
      <c r="M579" s="41"/>
      <c r="N579" s="43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J579" s="41"/>
      <c r="AM579" s="44"/>
    </row>
    <row r="580">
      <c r="B580" s="39"/>
      <c r="C580" s="40"/>
      <c r="E580" s="40"/>
      <c r="F580" s="40"/>
      <c r="G580" s="40"/>
      <c r="H580" s="40"/>
      <c r="I580" s="41"/>
      <c r="K580" s="42"/>
      <c r="L580" s="42"/>
      <c r="M580" s="41"/>
      <c r="N580" s="43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J580" s="41"/>
      <c r="AM580" s="44"/>
    </row>
    <row r="581">
      <c r="B581" s="39"/>
      <c r="C581" s="40"/>
      <c r="E581" s="40"/>
      <c r="F581" s="40"/>
      <c r="G581" s="40"/>
      <c r="H581" s="40"/>
      <c r="I581" s="41"/>
      <c r="K581" s="42"/>
      <c r="L581" s="42"/>
      <c r="M581" s="41"/>
      <c r="N581" s="43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J581" s="41"/>
      <c r="AM581" s="44"/>
    </row>
    <row r="582">
      <c r="B582" s="39"/>
      <c r="C582" s="40"/>
      <c r="E582" s="40"/>
      <c r="F582" s="40"/>
      <c r="G582" s="40"/>
      <c r="H582" s="40"/>
      <c r="I582" s="41"/>
      <c r="K582" s="42"/>
      <c r="L582" s="42"/>
      <c r="M582" s="41"/>
      <c r="N582" s="43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J582" s="41"/>
      <c r="AM582" s="44"/>
    </row>
    <row r="583">
      <c r="B583" s="39"/>
      <c r="C583" s="40"/>
      <c r="E583" s="40"/>
      <c r="F583" s="40"/>
      <c r="G583" s="40"/>
      <c r="H583" s="40"/>
      <c r="I583" s="41"/>
      <c r="K583" s="42"/>
      <c r="L583" s="42"/>
      <c r="M583" s="41"/>
      <c r="N583" s="43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J583" s="41"/>
      <c r="AM583" s="44"/>
    </row>
    <row r="584">
      <c r="B584" s="39"/>
      <c r="C584" s="40"/>
      <c r="E584" s="40"/>
      <c r="F584" s="40"/>
      <c r="G584" s="40"/>
      <c r="H584" s="40"/>
      <c r="I584" s="41"/>
      <c r="K584" s="42"/>
      <c r="L584" s="42"/>
      <c r="M584" s="41"/>
      <c r="N584" s="43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J584" s="41"/>
      <c r="AM584" s="44"/>
    </row>
    <row r="585">
      <c r="B585" s="39"/>
      <c r="C585" s="40"/>
      <c r="E585" s="40"/>
      <c r="F585" s="40"/>
      <c r="G585" s="40"/>
      <c r="H585" s="40"/>
      <c r="I585" s="41"/>
      <c r="K585" s="42"/>
      <c r="L585" s="42"/>
      <c r="M585" s="41"/>
      <c r="N585" s="43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J585" s="41"/>
      <c r="AM585" s="44"/>
    </row>
    <row r="586">
      <c r="B586" s="39"/>
      <c r="C586" s="40"/>
      <c r="E586" s="40"/>
      <c r="F586" s="40"/>
      <c r="G586" s="40"/>
      <c r="H586" s="40"/>
      <c r="I586" s="41"/>
      <c r="K586" s="42"/>
      <c r="L586" s="42"/>
      <c r="M586" s="41"/>
      <c r="N586" s="43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J586" s="41"/>
      <c r="AM586" s="44"/>
    </row>
    <row r="587">
      <c r="B587" s="39"/>
      <c r="C587" s="40"/>
      <c r="E587" s="40"/>
      <c r="F587" s="40"/>
      <c r="G587" s="40"/>
      <c r="H587" s="40"/>
      <c r="I587" s="41"/>
      <c r="K587" s="42"/>
      <c r="L587" s="42"/>
      <c r="M587" s="41"/>
      <c r="N587" s="43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J587" s="41"/>
      <c r="AM587" s="44"/>
    </row>
    <row r="588">
      <c r="B588" s="39"/>
      <c r="C588" s="40"/>
      <c r="E588" s="40"/>
      <c r="F588" s="40"/>
      <c r="G588" s="40"/>
      <c r="H588" s="40"/>
      <c r="I588" s="41"/>
      <c r="K588" s="42"/>
      <c r="L588" s="42"/>
      <c r="M588" s="41"/>
      <c r="N588" s="43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J588" s="41"/>
      <c r="AM588" s="44"/>
    </row>
    <row r="589">
      <c r="B589" s="39"/>
      <c r="C589" s="40"/>
      <c r="E589" s="40"/>
      <c r="F589" s="40"/>
      <c r="G589" s="40"/>
      <c r="H589" s="40"/>
      <c r="I589" s="41"/>
      <c r="K589" s="42"/>
      <c r="L589" s="42"/>
      <c r="M589" s="41"/>
      <c r="N589" s="43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J589" s="41"/>
      <c r="AM589" s="44"/>
    </row>
    <row r="590">
      <c r="B590" s="39"/>
      <c r="C590" s="40"/>
      <c r="E590" s="40"/>
      <c r="F590" s="40"/>
      <c r="G590" s="40"/>
      <c r="H590" s="40"/>
      <c r="I590" s="41"/>
      <c r="K590" s="42"/>
      <c r="L590" s="42"/>
      <c r="M590" s="41"/>
      <c r="N590" s="43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J590" s="41"/>
      <c r="AM590" s="44"/>
    </row>
    <row r="591">
      <c r="B591" s="39"/>
      <c r="C591" s="40"/>
      <c r="E591" s="40"/>
      <c r="F591" s="40"/>
      <c r="G591" s="40"/>
      <c r="H591" s="40"/>
      <c r="I591" s="41"/>
      <c r="K591" s="42"/>
      <c r="L591" s="42"/>
      <c r="M591" s="41"/>
      <c r="N591" s="43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J591" s="41"/>
      <c r="AM591" s="44"/>
    </row>
    <row r="592">
      <c r="B592" s="39"/>
      <c r="C592" s="40"/>
      <c r="E592" s="40"/>
      <c r="F592" s="40"/>
      <c r="G592" s="40"/>
      <c r="H592" s="40"/>
      <c r="I592" s="41"/>
      <c r="K592" s="42"/>
      <c r="L592" s="42"/>
      <c r="M592" s="41"/>
      <c r="N592" s="43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J592" s="41"/>
      <c r="AM592" s="44"/>
    </row>
    <row r="593">
      <c r="B593" s="39"/>
      <c r="C593" s="40"/>
      <c r="E593" s="40"/>
      <c r="F593" s="40"/>
      <c r="G593" s="40"/>
      <c r="H593" s="40"/>
      <c r="I593" s="41"/>
      <c r="K593" s="42"/>
      <c r="L593" s="42"/>
      <c r="M593" s="41"/>
      <c r="N593" s="43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J593" s="41"/>
      <c r="AM593" s="44"/>
    </row>
    <row r="594">
      <c r="B594" s="39"/>
      <c r="C594" s="40"/>
      <c r="E594" s="40"/>
      <c r="F594" s="40"/>
      <c r="G594" s="40"/>
      <c r="H594" s="40"/>
      <c r="I594" s="41"/>
      <c r="K594" s="42"/>
      <c r="L594" s="42"/>
      <c r="M594" s="41"/>
      <c r="N594" s="43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J594" s="41"/>
      <c r="AM594" s="44"/>
    </row>
    <row r="595">
      <c r="B595" s="39"/>
      <c r="C595" s="40"/>
      <c r="E595" s="40"/>
      <c r="F595" s="40"/>
      <c r="G595" s="40"/>
      <c r="H595" s="40"/>
      <c r="I595" s="41"/>
      <c r="K595" s="42"/>
      <c r="L595" s="42"/>
      <c r="M595" s="41"/>
      <c r="N595" s="43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J595" s="41"/>
      <c r="AM595" s="44"/>
    </row>
    <row r="596">
      <c r="B596" s="39"/>
      <c r="C596" s="40"/>
      <c r="E596" s="40"/>
      <c r="F596" s="40"/>
      <c r="G596" s="40"/>
      <c r="H596" s="40"/>
      <c r="I596" s="41"/>
      <c r="K596" s="42"/>
      <c r="L596" s="42"/>
      <c r="M596" s="41"/>
      <c r="N596" s="43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J596" s="41"/>
      <c r="AM596" s="44"/>
    </row>
    <row r="597">
      <c r="B597" s="39"/>
      <c r="C597" s="40"/>
      <c r="E597" s="40"/>
      <c r="F597" s="40"/>
      <c r="G597" s="40"/>
      <c r="H597" s="40"/>
      <c r="I597" s="41"/>
      <c r="K597" s="42"/>
      <c r="L597" s="42"/>
      <c r="M597" s="41"/>
      <c r="N597" s="43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J597" s="41"/>
      <c r="AM597" s="44"/>
    </row>
    <row r="598">
      <c r="B598" s="39"/>
      <c r="C598" s="40"/>
      <c r="E598" s="40"/>
      <c r="F598" s="40"/>
      <c r="G598" s="40"/>
      <c r="H598" s="40"/>
      <c r="I598" s="41"/>
      <c r="K598" s="42"/>
      <c r="L598" s="42"/>
      <c r="M598" s="41"/>
      <c r="N598" s="43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J598" s="41"/>
      <c r="AM598" s="44"/>
    </row>
    <row r="599">
      <c r="B599" s="39"/>
      <c r="C599" s="40"/>
      <c r="E599" s="40"/>
      <c r="F599" s="40"/>
      <c r="G599" s="40"/>
      <c r="H599" s="40"/>
      <c r="I599" s="41"/>
      <c r="K599" s="42"/>
      <c r="L599" s="42"/>
      <c r="M599" s="41"/>
      <c r="N599" s="43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J599" s="41"/>
      <c r="AM599" s="44"/>
    </row>
    <row r="600">
      <c r="B600" s="39"/>
      <c r="C600" s="40"/>
      <c r="E600" s="40"/>
      <c r="F600" s="40"/>
      <c r="G600" s="40"/>
      <c r="H600" s="40"/>
      <c r="I600" s="41"/>
      <c r="K600" s="42"/>
      <c r="L600" s="42"/>
      <c r="M600" s="41"/>
      <c r="N600" s="43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J600" s="41"/>
      <c r="AM600" s="44"/>
    </row>
    <row r="601">
      <c r="B601" s="39"/>
      <c r="C601" s="40"/>
      <c r="E601" s="40"/>
      <c r="F601" s="40"/>
      <c r="G601" s="40"/>
      <c r="H601" s="40"/>
      <c r="I601" s="41"/>
      <c r="K601" s="42"/>
      <c r="L601" s="42"/>
      <c r="M601" s="41"/>
      <c r="N601" s="43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J601" s="41"/>
      <c r="AM601" s="44"/>
    </row>
    <row r="602">
      <c r="B602" s="39"/>
      <c r="C602" s="40"/>
      <c r="E602" s="40"/>
      <c r="F602" s="40"/>
      <c r="G602" s="40"/>
      <c r="H602" s="40"/>
      <c r="I602" s="41"/>
      <c r="K602" s="42"/>
      <c r="L602" s="42"/>
      <c r="M602" s="41"/>
      <c r="N602" s="43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J602" s="41"/>
      <c r="AM602" s="44"/>
    </row>
    <row r="603">
      <c r="B603" s="39"/>
      <c r="C603" s="40"/>
      <c r="E603" s="40"/>
      <c r="F603" s="40"/>
      <c r="G603" s="40"/>
      <c r="H603" s="40"/>
      <c r="I603" s="41"/>
      <c r="K603" s="42"/>
      <c r="L603" s="42"/>
      <c r="M603" s="41"/>
      <c r="N603" s="43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J603" s="41"/>
      <c r="AM603" s="44"/>
    </row>
    <row r="604">
      <c r="B604" s="39"/>
      <c r="C604" s="40"/>
      <c r="E604" s="40"/>
      <c r="F604" s="40"/>
      <c r="G604" s="40"/>
      <c r="H604" s="40"/>
      <c r="I604" s="41"/>
      <c r="K604" s="42"/>
      <c r="L604" s="42"/>
      <c r="M604" s="41"/>
      <c r="N604" s="43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J604" s="41"/>
      <c r="AM604" s="44"/>
    </row>
    <row r="605">
      <c r="B605" s="39"/>
      <c r="C605" s="40"/>
      <c r="E605" s="40"/>
      <c r="F605" s="40"/>
      <c r="G605" s="40"/>
      <c r="H605" s="40"/>
      <c r="I605" s="41"/>
      <c r="K605" s="42"/>
      <c r="L605" s="42"/>
      <c r="M605" s="41"/>
      <c r="N605" s="43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J605" s="41"/>
      <c r="AM605" s="44"/>
    </row>
    <row r="606">
      <c r="B606" s="39"/>
      <c r="C606" s="40"/>
      <c r="E606" s="40"/>
      <c r="F606" s="40"/>
      <c r="G606" s="40"/>
      <c r="H606" s="40"/>
      <c r="I606" s="41"/>
      <c r="K606" s="42"/>
      <c r="L606" s="42"/>
      <c r="M606" s="41"/>
      <c r="N606" s="43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J606" s="41"/>
      <c r="AM606" s="44"/>
    </row>
    <row r="607">
      <c r="B607" s="39"/>
      <c r="C607" s="40"/>
      <c r="E607" s="40"/>
      <c r="F607" s="40"/>
      <c r="G607" s="40"/>
      <c r="H607" s="40"/>
      <c r="I607" s="41"/>
      <c r="K607" s="42"/>
      <c r="L607" s="42"/>
      <c r="M607" s="41"/>
      <c r="N607" s="43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J607" s="41"/>
      <c r="AM607" s="44"/>
    </row>
    <row r="608">
      <c r="B608" s="39"/>
      <c r="C608" s="40"/>
      <c r="E608" s="40"/>
      <c r="F608" s="40"/>
      <c r="G608" s="40"/>
      <c r="H608" s="40"/>
      <c r="I608" s="41"/>
      <c r="K608" s="42"/>
      <c r="L608" s="42"/>
      <c r="M608" s="41"/>
      <c r="N608" s="43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J608" s="41"/>
      <c r="AM608" s="44"/>
    </row>
    <row r="609">
      <c r="B609" s="39"/>
      <c r="C609" s="40"/>
      <c r="E609" s="40"/>
      <c r="F609" s="40"/>
      <c r="G609" s="40"/>
      <c r="H609" s="40"/>
      <c r="I609" s="41"/>
      <c r="K609" s="42"/>
      <c r="L609" s="42"/>
      <c r="M609" s="41"/>
      <c r="N609" s="43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J609" s="41"/>
      <c r="AM609" s="44"/>
    </row>
    <row r="610">
      <c r="B610" s="39"/>
      <c r="C610" s="40"/>
      <c r="E610" s="40"/>
      <c r="F610" s="40"/>
      <c r="G610" s="40"/>
      <c r="H610" s="40"/>
      <c r="I610" s="41"/>
      <c r="K610" s="42"/>
      <c r="L610" s="42"/>
      <c r="M610" s="41"/>
      <c r="N610" s="43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J610" s="41"/>
      <c r="AM610" s="44"/>
    </row>
    <row r="611">
      <c r="B611" s="39"/>
      <c r="C611" s="40"/>
      <c r="E611" s="40"/>
      <c r="F611" s="40"/>
      <c r="G611" s="40"/>
      <c r="H611" s="40"/>
      <c r="I611" s="41"/>
      <c r="K611" s="42"/>
      <c r="L611" s="42"/>
      <c r="M611" s="41"/>
      <c r="N611" s="43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J611" s="41"/>
      <c r="AM611" s="44"/>
    </row>
    <row r="612">
      <c r="B612" s="39"/>
      <c r="C612" s="40"/>
      <c r="E612" s="40"/>
      <c r="F612" s="40"/>
      <c r="G612" s="40"/>
      <c r="H612" s="40"/>
      <c r="I612" s="41"/>
      <c r="K612" s="42"/>
      <c r="L612" s="42"/>
      <c r="M612" s="41"/>
      <c r="N612" s="43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J612" s="41"/>
      <c r="AM612" s="44"/>
    </row>
    <row r="613">
      <c r="B613" s="39"/>
      <c r="C613" s="40"/>
      <c r="E613" s="40"/>
      <c r="F613" s="40"/>
      <c r="G613" s="40"/>
      <c r="H613" s="40"/>
      <c r="I613" s="41"/>
      <c r="K613" s="42"/>
      <c r="L613" s="42"/>
      <c r="M613" s="41"/>
      <c r="N613" s="43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J613" s="41"/>
      <c r="AM613" s="44"/>
    </row>
    <row r="614">
      <c r="B614" s="39"/>
      <c r="C614" s="40"/>
      <c r="E614" s="40"/>
      <c r="F614" s="40"/>
      <c r="G614" s="40"/>
      <c r="H614" s="40"/>
      <c r="I614" s="41"/>
      <c r="K614" s="42"/>
      <c r="L614" s="42"/>
      <c r="M614" s="41"/>
      <c r="N614" s="43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J614" s="41"/>
      <c r="AM614" s="44"/>
    </row>
    <row r="615">
      <c r="B615" s="39"/>
      <c r="C615" s="40"/>
      <c r="E615" s="40"/>
      <c r="F615" s="40"/>
      <c r="G615" s="40"/>
      <c r="H615" s="40"/>
      <c r="I615" s="41"/>
      <c r="K615" s="42"/>
      <c r="L615" s="42"/>
      <c r="M615" s="41"/>
      <c r="N615" s="43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J615" s="41"/>
      <c r="AM615" s="44"/>
    </row>
    <row r="616">
      <c r="B616" s="39"/>
      <c r="C616" s="40"/>
      <c r="E616" s="40"/>
      <c r="F616" s="40"/>
      <c r="G616" s="40"/>
      <c r="H616" s="40"/>
      <c r="I616" s="41"/>
      <c r="K616" s="42"/>
      <c r="L616" s="42"/>
      <c r="M616" s="41"/>
      <c r="N616" s="43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J616" s="41"/>
      <c r="AM616" s="44"/>
    </row>
    <row r="617">
      <c r="B617" s="39"/>
      <c r="C617" s="40"/>
      <c r="E617" s="40"/>
      <c r="F617" s="40"/>
      <c r="G617" s="40"/>
      <c r="H617" s="40"/>
      <c r="I617" s="41"/>
      <c r="K617" s="42"/>
      <c r="L617" s="42"/>
      <c r="M617" s="41"/>
      <c r="N617" s="43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J617" s="41"/>
      <c r="AM617" s="44"/>
    </row>
    <row r="618">
      <c r="B618" s="39"/>
      <c r="C618" s="40"/>
      <c r="E618" s="40"/>
      <c r="F618" s="40"/>
      <c r="G618" s="40"/>
      <c r="H618" s="40"/>
      <c r="I618" s="41"/>
      <c r="K618" s="42"/>
      <c r="L618" s="42"/>
      <c r="M618" s="41"/>
      <c r="N618" s="43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J618" s="41"/>
      <c r="AM618" s="44"/>
    </row>
    <row r="619">
      <c r="B619" s="39"/>
      <c r="C619" s="40"/>
      <c r="E619" s="40"/>
      <c r="F619" s="40"/>
      <c r="G619" s="40"/>
      <c r="H619" s="40"/>
      <c r="I619" s="41"/>
      <c r="K619" s="42"/>
      <c r="L619" s="42"/>
      <c r="M619" s="41"/>
      <c r="N619" s="43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J619" s="41"/>
      <c r="AM619" s="44"/>
    </row>
    <row r="620">
      <c r="B620" s="39"/>
      <c r="C620" s="40"/>
      <c r="E620" s="40"/>
      <c r="F620" s="40"/>
      <c r="G620" s="40"/>
      <c r="H620" s="40"/>
      <c r="I620" s="41"/>
      <c r="K620" s="42"/>
      <c r="L620" s="42"/>
      <c r="M620" s="41"/>
      <c r="N620" s="43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J620" s="41"/>
      <c r="AM620" s="44"/>
    </row>
    <row r="621">
      <c r="B621" s="39"/>
      <c r="C621" s="40"/>
      <c r="E621" s="40"/>
      <c r="F621" s="40"/>
      <c r="G621" s="40"/>
      <c r="H621" s="40"/>
      <c r="I621" s="41"/>
      <c r="K621" s="42"/>
      <c r="L621" s="42"/>
      <c r="M621" s="41"/>
      <c r="N621" s="43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J621" s="41"/>
      <c r="AM621" s="44"/>
    </row>
    <row r="622">
      <c r="B622" s="39"/>
      <c r="C622" s="40"/>
      <c r="E622" s="40"/>
      <c r="F622" s="40"/>
      <c r="G622" s="40"/>
      <c r="H622" s="40"/>
      <c r="I622" s="41"/>
      <c r="K622" s="42"/>
      <c r="L622" s="42"/>
      <c r="M622" s="41"/>
      <c r="N622" s="43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J622" s="41"/>
      <c r="AM622" s="44"/>
    </row>
    <row r="623">
      <c r="B623" s="39"/>
      <c r="C623" s="40"/>
      <c r="E623" s="40"/>
      <c r="F623" s="40"/>
      <c r="G623" s="40"/>
      <c r="H623" s="40"/>
      <c r="I623" s="41"/>
      <c r="K623" s="42"/>
      <c r="L623" s="42"/>
      <c r="M623" s="41"/>
      <c r="N623" s="43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J623" s="41"/>
      <c r="AM623" s="44"/>
    </row>
    <row r="624">
      <c r="B624" s="39"/>
      <c r="C624" s="40"/>
      <c r="E624" s="40"/>
      <c r="F624" s="40"/>
      <c r="G624" s="40"/>
      <c r="H624" s="40"/>
      <c r="I624" s="41"/>
      <c r="K624" s="42"/>
      <c r="L624" s="42"/>
      <c r="M624" s="41"/>
      <c r="N624" s="43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J624" s="41"/>
      <c r="AM624" s="44"/>
    </row>
    <row r="625">
      <c r="B625" s="39"/>
      <c r="C625" s="40"/>
      <c r="E625" s="40"/>
      <c r="F625" s="40"/>
      <c r="G625" s="40"/>
      <c r="H625" s="40"/>
      <c r="I625" s="41"/>
      <c r="K625" s="42"/>
      <c r="L625" s="42"/>
      <c r="M625" s="41"/>
      <c r="N625" s="43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J625" s="41"/>
      <c r="AM625" s="44"/>
    </row>
    <row r="626">
      <c r="B626" s="39"/>
      <c r="C626" s="40"/>
      <c r="E626" s="40"/>
      <c r="F626" s="40"/>
      <c r="G626" s="40"/>
      <c r="H626" s="40"/>
      <c r="I626" s="41"/>
      <c r="K626" s="42"/>
      <c r="L626" s="42"/>
      <c r="M626" s="41"/>
      <c r="N626" s="43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J626" s="41"/>
      <c r="AM626" s="44"/>
    </row>
    <row r="627">
      <c r="B627" s="39"/>
      <c r="C627" s="40"/>
      <c r="E627" s="40"/>
      <c r="F627" s="40"/>
      <c r="G627" s="40"/>
      <c r="H627" s="40"/>
      <c r="I627" s="41"/>
      <c r="K627" s="42"/>
      <c r="L627" s="42"/>
      <c r="M627" s="41"/>
      <c r="N627" s="43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J627" s="41"/>
      <c r="AM627" s="44"/>
    </row>
    <row r="628">
      <c r="B628" s="39"/>
      <c r="C628" s="40"/>
      <c r="E628" s="40"/>
      <c r="F628" s="40"/>
      <c r="G628" s="40"/>
      <c r="H628" s="40"/>
      <c r="I628" s="41"/>
      <c r="K628" s="42"/>
      <c r="L628" s="42"/>
      <c r="M628" s="41"/>
      <c r="N628" s="43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J628" s="41"/>
      <c r="AM628" s="44"/>
    </row>
    <row r="629">
      <c r="B629" s="39"/>
      <c r="C629" s="40"/>
      <c r="E629" s="40"/>
      <c r="F629" s="40"/>
      <c r="G629" s="40"/>
      <c r="H629" s="40"/>
      <c r="I629" s="41"/>
      <c r="K629" s="42"/>
      <c r="L629" s="42"/>
      <c r="M629" s="41"/>
      <c r="N629" s="43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J629" s="41"/>
      <c r="AM629" s="44"/>
    </row>
    <row r="630">
      <c r="B630" s="39"/>
      <c r="C630" s="40"/>
      <c r="E630" s="40"/>
      <c r="F630" s="40"/>
      <c r="G630" s="40"/>
      <c r="H630" s="40"/>
      <c r="I630" s="41"/>
      <c r="K630" s="42"/>
      <c r="L630" s="42"/>
      <c r="M630" s="41"/>
      <c r="N630" s="43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J630" s="41"/>
      <c r="AM630" s="44"/>
    </row>
    <row r="631">
      <c r="B631" s="39"/>
      <c r="C631" s="40"/>
      <c r="E631" s="40"/>
      <c r="F631" s="40"/>
      <c r="G631" s="40"/>
      <c r="H631" s="40"/>
      <c r="I631" s="41"/>
      <c r="K631" s="42"/>
      <c r="L631" s="42"/>
      <c r="M631" s="41"/>
      <c r="N631" s="43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J631" s="41"/>
      <c r="AM631" s="44"/>
    </row>
    <row r="632">
      <c r="B632" s="39"/>
      <c r="C632" s="40"/>
      <c r="E632" s="40"/>
      <c r="F632" s="40"/>
      <c r="G632" s="40"/>
      <c r="H632" s="40"/>
      <c r="I632" s="41"/>
      <c r="K632" s="42"/>
      <c r="L632" s="42"/>
      <c r="M632" s="41"/>
      <c r="N632" s="43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J632" s="41"/>
      <c r="AM632" s="44"/>
    </row>
    <row r="633">
      <c r="B633" s="39"/>
      <c r="C633" s="40"/>
      <c r="E633" s="40"/>
      <c r="F633" s="40"/>
      <c r="G633" s="40"/>
      <c r="H633" s="40"/>
      <c r="I633" s="41"/>
      <c r="K633" s="42"/>
      <c r="L633" s="42"/>
      <c r="M633" s="41"/>
      <c r="N633" s="43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J633" s="41"/>
      <c r="AM633" s="44"/>
    </row>
    <row r="634">
      <c r="B634" s="39"/>
      <c r="C634" s="40"/>
      <c r="E634" s="40"/>
      <c r="F634" s="40"/>
      <c r="G634" s="40"/>
      <c r="H634" s="40"/>
      <c r="I634" s="41"/>
      <c r="K634" s="42"/>
      <c r="L634" s="42"/>
      <c r="M634" s="41"/>
      <c r="N634" s="43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J634" s="41"/>
      <c r="AM634" s="44"/>
    </row>
    <row r="635">
      <c r="B635" s="39"/>
      <c r="C635" s="40"/>
      <c r="E635" s="40"/>
      <c r="F635" s="40"/>
      <c r="G635" s="40"/>
      <c r="H635" s="40"/>
      <c r="I635" s="41"/>
      <c r="K635" s="42"/>
      <c r="L635" s="42"/>
      <c r="M635" s="41"/>
      <c r="N635" s="43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J635" s="41"/>
      <c r="AM635" s="44"/>
    </row>
    <row r="636">
      <c r="B636" s="39"/>
      <c r="C636" s="40"/>
      <c r="E636" s="40"/>
      <c r="F636" s="40"/>
      <c r="G636" s="40"/>
      <c r="H636" s="40"/>
      <c r="I636" s="41"/>
      <c r="K636" s="42"/>
      <c r="L636" s="42"/>
      <c r="M636" s="41"/>
      <c r="N636" s="43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J636" s="41"/>
      <c r="AM636" s="44"/>
    </row>
    <row r="637">
      <c r="B637" s="39"/>
      <c r="C637" s="40"/>
      <c r="E637" s="40"/>
      <c r="F637" s="40"/>
      <c r="G637" s="40"/>
      <c r="H637" s="40"/>
      <c r="I637" s="41"/>
      <c r="K637" s="42"/>
      <c r="L637" s="42"/>
      <c r="M637" s="41"/>
      <c r="N637" s="43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J637" s="41"/>
      <c r="AM637" s="44"/>
    </row>
    <row r="638">
      <c r="B638" s="39"/>
      <c r="C638" s="40"/>
      <c r="E638" s="40"/>
      <c r="F638" s="40"/>
      <c r="G638" s="40"/>
      <c r="H638" s="40"/>
      <c r="I638" s="41"/>
      <c r="K638" s="42"/>
      <c r="L638" s="42"/>
      <c r="M638" s="41"/>
      <c r="N638" s="43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J638" s="41"/>
      <c r="AM638" s="44"/>
    </row>
    <row r="639">
      <c r="B639" s="39"/>
      <c r="C639" s="40"/>
      <c r="E639" s="40"/>
      <c r="F639" s="40"/>
      <c r="G639" s="40"/>
      <c r="H639" s="40"/>
      <c r="I639" s="41"/>
      <c r="K639" s="42"/>
      <c r="L639" s="42"/>
      <c r="M639" s="41"/>
      <c r="N639" s="43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J639" s="41"/>
      <c r="AM639" s="44"/>
    </row>
    <row r="640">
      <c r="B640" s="39"/>
      <c r="C640" s="40"/>
      <c r="E640" s="40"/>
      <c r="F640" s="40"/>
      <c r="G640" s="40"/>
      <c r="H640" s="40"/>
      <c r="I640" s="41"/>
      <c r="K640" s="42"/>
      <c r="L640" s="42"/>
      <c r="M640" s="41"/>
      <c r="N640" s="43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J640" s="41"/>
      <c r="AM640" s="44"/>
    </row>
    <row r="641">
      <c r="B641" s="39"/>
      <c r="C641" s="40"/>
      <c r="E641" s="40"/>
      <c r="F641" s="40"/>
      <c r="G641" s="40"/>
      <c r="H641" s="40"/>
      <c r="I641" s="41"/>
      <c r="K641" s="42"/>
      <c r="L641" s="42"/>
      <c r="M641" s="41"/>
      <c r="N641" s="43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J641" s="41"/>
      <c r="AM641" s="44"/>
    </row>
    <row r="642">
      <c r="B642" s="39"/>
      <c r="C642" s="40"/>
      <c r="E642" s="40"/>
      <c r="F642" s="40"/>
      <c r="G642" s="40"/>
      <c r="H642" s="40"/>
      <c r="I642" s="41"/>
      <c r="K642" s="42"/>
      <c r="L642" s="42"/>
      <c r="M642" s="41"/>
      <c r="N642" s="43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J642" s="41"/>
      <c r="AM642" s="44"/>
    </row>
    <row r="643">
      <c r="B643" s="39"/>
      <c r="C643" s="40"/>
      <c r="E643" s="40"/>
      <c r="F643" s="40"/>
      <c r="G643" s="40"/>
      <c r="H643" s="40"/>
      <c r="I643" s="41"/>
      <c r="K643" s="42"/>
      <c r="L643" s="42"/>
      <c r="M643" s="41"/>
      <c r="N643" s="43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J643" s="41"/>
      <c r="AM643" s="44"/>
    </row>
    <row r="644">
      <c r="B644" s="39"/>
      <c r="C644" s="40"/>
      <c r="E644" s="40"/>
      <c r="F644" s="40"/>
      <c r="G644" s="40"/>
      <c r="H644" s="40"/>
      <c r="I644" s="41"/>
      <c r="K644" s="42"/>
      <c r="L644" s="42"/>
      <c r="M644" s="41"/>
      <c r="N644" s="43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J644" s="41"/>
      <c r="AM644" s="44"/>
    </row>
    <row r="645">
      <c r="B645" s="39"/>
      <c r="C645" s="40"/>
      <c r="E645" s="40"/>
      <c r="F645" s="40"/>
      <c r="G645" s="40"/>
      <c r="H645" s="40"/>
      <c r="I645" s="41"/>
      <c r="K645" s="42"/>
      <c r="L645" s="42"/>
      <c r="M645" s="41"/>
      <c r="N645" s="43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J645" s="41"/>
      <c r="AM645" s="44"/>
    </row>
    <row r="646">
      <c r="B646" s="39"/>
      <c r="C646" s="40"/>
      <c r="E646" s="40"/>
      <c r="F646" s="40"/>
      <c r="G646" s="40"/>
      <c r="H646" s="40"/>
      <c r="I646" s="41"/>
      <c r="K646" s="42"/>
      <c r="L646" s="42"/>
      <c r="M646" s="41"/>
      <c r="N646" s="43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J646" s="41"/>
      <c r="AM646" s="44"/>
    </row>
    <row r="647">
      <c r="B647" s="39"/>
      <c r="C647" s="40"/>
      <c r="E647" s="40"/>
      <c r="F647" s="40"/>
      <c r="G647" s="40"/>
      <c r="H647" s="40"/>
      <c r="I647" s="41"/>
      <c r="K647" s="42"/>
      <c r="L647" s="42"/>
      <c r="M647" s="41"/>
      <c r="N647" s="43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J647" s="41"/>
      <c r="AM647" s="44"/>
    </row>
    <row r="648">
      <c r="B648" s="39"/>
      <c r="C648" s="40"/>
      <c r="E648" s="40"/>
      <c r="F648" s="40"/>
      <c r="G648" s="40"/>
      <c r="H648" s="40"/>
      <c r="I648" s="41"/>
      <c r="K648" s="42"/>
      <c r="L648" s="42"/>
      <c r="M648" s="41"/>
      <c r="N648" s="43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J648" s="41"/>
      <c r="AM648" s="44"/>
    </row>
    <row r="649">
      <c r="B649" s="39"/>
      <c r="C649" s="40"/>
      <c r="E649" s="40"/>
      <c r="F649" s="40"/>
      <c r="G649" s="40"/>
      <c r="H649" s="40"/>
      <c r="I649" s="41"/>
      <c r="K649" s="42"/>
      <c r="L649" s="42"/>
      <c r="M649" s="41"/>
      <c r="N649" s="43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J649" s="41"/>
      <c r="AM649" s="44"/>
    </row>
    <row r="650">
      <c r="B650" s="39"/>
      <c r="C650" s="40"/>
      <c r="E650" s="40"/>
      <c r="F650" s="40"/>
      <c r="G650" s="40"/>
      <c r="H650" s="40"/>
      <c r="I650" s="41"/>
      <c r="K650" s="42"/>
      <c r="L650" s="42"/>
      <c r="M650" s="41"/>
      <c r="N650" s="43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J650" s="41"/>
      <c r="AM650" s="44"/>
    </row>
    <row r="651">
      <c r="B651" s="39"/>
      <c r="C651" s="40"/>
      <c r="E651" s="40"/>
      <c r="F651" s="40"/>
      <c r="G651" s="40"/>
      <c r="H651" s="40"/>
      <c r="I651" s="41"/>
      <c r="K651" s="42"/>
      <c r="L651" s="42"/>
      <c r="M651" s="41"/>
      <c r="N651" s="43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J651" s="41"/>
      <c r="AM651" s="44"/>
    </row>
    <row r="652">
      <c r="B652" s="39"/>
      <c r="C652" s="40"/>
      <c r="E652" s="40"/>
      <c r="F652" s="40"/>
      <c r="G652" s="40"/>
      <c r="H652" s="40"/>
      <c r="I652" s="41"/>
      <c r="K652" s="42"/>
      <c r="L652" s="42"/>
      <c r="M652" s="41"/>
      <c r="N652" s="43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J652" s="41"/>
      <c r="AM652" s="44"/>
    </row>
    <row r="653">
      <c r="B653" s="39"/>
      <c r="C653" s="40"/>
      <c r="E653" s="40"/>
      <c r="F653" s="40"/>
      <c r="G653" s="40"/>
      <c r="H653" s="40"/>
      <c r="I653" s="41"/>
      <c r="K653" s="42"/>
      <c r="L653" s="42"/>
      <c r="M653" s="41"/>
      <c r="N653" s="43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J653" s="41"/>
      <c r="AM653" s="44"/>
    </row>
    <row r="654">
      <c r="B654" s="39"/>
      <c r="C654" s="40"/>
      <c r="E654" s="40"/>
      <c r="F654" s="40"/>
      <c r="G654" s="40"/>
      <c r="H654" s="40"/>
      <c r="I654" s="41"/>
      <c r="K654" s="42"/>
      <c r="L654" s="42"/>
      <c r="M654" s="41"/>
      <c r="N654" s="43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J654" s="41"/>
      <c r="AM654" s="44"/>
    </row>
    <row r="655">
      <c r="B655" s="39"/>
      <c r="C655" s="40"/>
      <c r="E655" s="40"/>
      <c r="F655" s="40"/>
      <c r="G655" s="40"/>
      <c r="H655" s="40"/>
      <c r="I655" s="41"/>
      <c r="K655" s="42"/>
      <c r="L655" s="42"/>
      <c r="M655" s="41"/>
      <c r="N655" s="43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J655" s="41"/>
      <c r="AM655" s="44"/>
    </row>
    <row r="656">
      <c r="B656" s="39"/>
      <c r="C656" s="40"/>
      <c r="E656" s="40"/>
      <c r="F656" s="40"/>
      <c r="G656" s="40"/>
      <c r="H656" s="40"/>
      <c r="I656" s="41"/>
      <c r="K656" s="42"/>
      <c r="L656" s="42"/>
      <c r="M656" s="41"/>
      <c r="N656" s="43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J656" s="41"/>
      <c r="AM656" s="44"/>
    </row>
    <row r="657">
      <c r="B657" s="39"/>
      <c r="C657" s="40"/>
      <c r="E657" s="40"/>
      <c r="F657" s="40"/>
      <c r="G657" s="40"/>
      <c r="H657" s="40"/>
      <c r="I657" s="41"/>
      <c r="K657" s="42"/>
      <c r="L657" s="42"/>
      <c r="M657" s="41"/>
      <c r="N657" s="43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J657" s="41"/>
      <c r="AM657" s="44"/>
    </row>
    <row r="658">
      <c r="B658" s="39"/>
      <c r="C658" s="40"/>
      <c r="E658" s="40"/>
      <c r="F658" s="40"/>
      <c r="G658" s="40"/>
      <c r="H658" s="40"/>
      <c r="I658" s="41"/>
      <c r="K658" s="42"/>
      <c r="L658" s="42"/>
      <c r="M658" s="41"/>
      <c r="N658" s="43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J658" s="41"/>
      <c r="AM658" s="44"/>
    </row>
    <row r="659">
      <c r="B659" s="39"/>
      <c r="C659" s="40"/>
      <c r="E659" s="40"/>
      <c r="F659" s="40"/>
      <c r="G659" s="40"/>
      <c r="H659" s="40"/>
      <c r="I659" s="41"/>
      <c r="K659" s="42"/>
      <c r="L659" s="42"/>
      <c r="M659" s="41"/>
      <c r="N659" s="43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J659" s="41"/>
      <c r="AM659" s="44"/>
    </row>
    <row r="660">
      <c r="B660" s="39"/>
      <c r="C660" s="40"/>
      <c r="E660" s="40"/>
      <c r="F660" s="40"/>
      <c r="G660" s="40"/>
      <c r="H660" s="40"/>
      <c r="I660" s="41"/>
      <c r="K660" s="42"/>
      <c r="L660" s="42"/>
      <c r="M660" s="41"/>
      <c r="N660" s="43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J660" s="41"/>
      <c r="AM660" s="44"/>
    </row>
    <row r="661">
      <c r="B661" s="39"/>
      <c r="C661" s="40"/>
      <c r="E661" s="40"/>
      <c r="F661" s="40"/>
      <c r="G661" s="40"/>
      <c r="H661" s="40"/>
      <c r="I661" s="41"/>
      <c r="K661" s="42"/>
      <c r="L661" s="42"/>
      <c r="M661" s="41"/>
      <c r="N661" s="43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J661" s="41"/>
      <c r="AM661" s="44"/>
    </row>
    <row r="662">
      <c r="B662" s="39"/>
      <c r="C662" s="40"/>
      <c r="E662" s="40"/>
      <c r="F662" s="40"/>
      <c r="G662" s="40"/>
      <c r="H662" s="40"/>
      <c r="I662" s="41"/>
      <c r="K662" s="42"/>
      <c r="L662" s="42"/>
      <c r="M662" s="41"/>
      <c r="N662" s="43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J662" s="41"/>
      <c r="AM662" s="44"/>
    </row>
    <row r="663">
      <c r="B663" s="39"/>
      <c r="C663" s="40"/>
      <c r="E663" s="40"/>
      <c r="F663" s="40"/>
      <c r="G663" s="40"/>
      <c r="H663" s="40"/>
      <c r="I663" s="41"/>
      <c r="K663" s="42"/>
      <c r="L663" s="42"/>
      <c r="M663" s="41"/>
      <c r="N663" s="43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J663" s="41"/>
      <c r="AM663" s="44"/>
    </row>
    <row r="664">
      <c r="B664" s="39"/>
      <c r="C664" s="40"/>
      <c r="E664" s="40"/>
      <c r="F664" s="40"/>
      <c r="G664" s="40"/>
      <c r="H664" s="40"/>
      <c r="I664" s="41"/>
      <c r="K664" s="42"/>
      <c r="L664" s="42"/>
      <c r="M664" s="41"/>
      <c r="N664" s="43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J664" s="41"/>
      <c r="AM664" s="44"/>
    </row>
    <row r="665">
      <c r="B665" s="39"/>
      <c r="C665" s="40"/>
      <c r="E665" s="40"/>
      <c r="F665" s="40"/>
      <c r="G665" s="40"/>
      <c r="H665" s="40"/>
      <c r="I665" s="41"/>
      <c r="K665" s="42"/>
      <c r="L665" s="42"/>
      <c r="M665" s="41"/>
      <c r="N665" s="43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J665" s="41"/>
      <c r="AM665" s="44"/>
    </row>
    <row r="666">
      <c r="B666" s="39"/>
      <c r="C666" s="40"/>
      <c r="E666" s="40"/>
      <c r="F666" s="40"/>
      <c r="G666" s="40"/>
      <c r="H666" s="40"/>
      <c r="I666" s="41"/>
      <c r="K666" s="42"/>
      <c r="L666" s="42"/>
      <c r="M666" s="41"/>
      <c r="N666" s="43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J666" s="41"/>
      <c r="AM666" s="44"/>
    </row>
    <row r="667">
      <c r="B667" s="39"/>
      <c r="C667" s="40"/>
      <c r="E667" s="40"/>
      <c r="F667" s="40"/>
      <c r="G667" s="40"/>
      <c r="H667" s="40"/>
      <c r="I667" s="41"/>
      <c r="K667" s="42"/>
      <c r="L667" s="42"/>
      <c r="M667" s="41"/>
      <c r="N667" s="43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J667" s="41"/>
      <c r="AM667" s="44"/>
    </row>
    <row r="668">
      <c r="B668" s="39"/>
      <c r="C668" s="40"/>
      <c r="E668" s="40"/>
      <c r="F668" s="40"/>
      <c r="G668" s="40"/>
      <c r="H668" s="40"/>
      <c r="I668" s="41"/>
      <c r="K668" s="42"/>
      <c r="L668" s="42"/>
      <c r="M668" s="41"/>
      <c r="N668" s="43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J668" s="41"/>
      <c r="AM668" s="44"/>
    </row>
    <row r="669">
      <c r="B669" s="39"/>
      <c r="C669" s="40"/>
      <c r="E669" s="40"/>
      <c r="F669" s="40"/>
      <c r="G669" s="40"/>
      <c r="H669" s="40"/>
      <c r="I669" s="41"/>
      <c r="K669" s="42"/>
      <c r="L669" s="42"/>
      <c r="M669" s="41"/>
      <c r="N669" s="43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J669" s="41"/>
      <c r="AM669" s="44"/>
    </row>
    <row r="670">
      <c r="B670" s="39"/>
      <c r="C670" s="40"/>
      <c r="E670" s="40"/>
      <c r="F670" s="40"/>
      <c r="G670" s="40"/>
      <c r="H670" s="40"/>
      <c r="I670" s="41"/>
      <c r="K670" s="42"/>
      <c r="L670" s="42"/>
      <c r="M670" s="41"/>
      <c r="N670" s="43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J670" s="41"/>
      <c r="AM670" s="44"/>
    </row>
    <row r="671">
      <c r="B671" s="39"/>
      <c r="C671" s="40"/>
      <c r="E671" s="40"/>
      <c r="F671" s="40"/>
      <c r="G671" s="40"/>
      <c r="H671" s="40"/>
      <c r="I671" s="41"/>
      <c r="K671" s="42"/>
      <c r="L671" s="42"/>
      <c r="M671" s="41"/>
      <c r="N671" s="43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J671" s="41"/>
      <c r="AM671" s="44"/>
    </row>
    <row r="672">
      <c r="B672" s="39"/>
      <c r="C672" s="40"/>
      <c r="E672" s="40"/>
      <c r="F672" s="40"/>
      <c r="G672" s="40"/>
      <c r="H672" s="40"/>
      <c r="I672" s="41"/>
      <c r="K672" s="42"/>
      <c r="L672" s="42"/>
      <c r="M672" s="41"/>
      <c r="N672" s="43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J672" s="41"/>
      <c r="AM672" s="44"/>
    </row>
    <row r="673">
      <c r="B673" s="39"/>
      <c r="C673" s="40"/>
      <c r="E673" s="40"/>
      <c r="F673" s="40"/>
      <c r="G673" s="40"/>
      <c r="H673" s="40"/>
      <c r="I673" s="41"/>
      <c r="K673" s="42"/>
      <c r="L673" s="42"/>
      <c r="M673" s="41"/>
      <c r="N673" s="43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J673" s="41"/>
      <c r="AM673" s="44"/>
    </row>
    <row r="674">
      <c r="B674" s="39"/>
      <c r="C674" s="40"/>
      <c r="E674" s="40"/>
      <c r="F674" s="40"/>
      <c r="G674" s="40"/>
      <c r="H674" s="40"/>
      <c r="I674" s="41"/>
      <c r="K674" s="42"/>
      <c r="L674" s="42"/>
      <c r="M674" s="41"/>
      <c r="N674" s="43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J674" s="41"/>
      <c r="AM674" s="44"/>
    </row>
    <row r="675">
      <c r="B675" s="39"/>
      <c r="C675" s="40"/>
      <c r="E675" s="40"/>
      <c r="F675" s="40"/>
      <c r="G675" s="40"/>
      <c r="H675" s="40"/>
      <c r="I675" s="41"/>
      <c r="K675" s="42"/>
      <c r="L675" s="42"/>
      <c r="M675" s="41"/>
      <c r="N675" s="43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J675" s="41"/>
      <c r="AM675" s="44"/>
    </row>
    <row r="676">
      <c r="B676" s="39"/>
      <c r="C676" s="40"/>
      <c r="E676" s="40"/>
      <c r="F676" s="40"/>
      <c r="G676" s="40"/>
      <c r="H676" s="40"/>
      <c r="I676" s="41"/>
      <c r="K676" s="42"/>
      <c r="L676" s="42"/>
      <c r="M676" s="41"/>
      <c r="N676" s="43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J676" s="41"/>
      <c r="AM676" s="44"/>
    </row>
    <row r="677">
      <c r="B677" s="39"/>
      <c r="C677" s="40"/>
      <c r="E677" s="40"/>
      <c r="F677" s="40"/>
      <c r="G677" s="40"/>
      <c r="H677" s="40"/>
      <c r="I677" s="41"/>
      <c r="K677" s="42"/>
      <c r="L677" s="42"/>
      <c r="M677" s="41"/>
      <c r="N677" s="43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J677" s="41"/>
      <c r="AM677" s="44"/>
    </row>
    <row r="678">
      <c r="B678" s="39"/>
      <c r="C678" s="40"/>
      <c r="E678" s="40"/>
      <c r="F678" s="40"/>
      <c r="G678" s="40"/>
      <c r="H678" s="40"/>
      <c r="I678" s="41"/>
      <c r="K678" s="42"/>
      <c r="L678" s="42"/>
      <c r="M678" s="41"/>
      <c r="N678" s="43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J678" s="41"/>
      <c r="AM678" s="44"/>
    </row>
    <row r="679">
      <c r="B679" s="39"/>
      <c r="C679" s="40"/>
      <c r="E679" s="40"/>
      <c r="F679" s="40"/>
      <c r="G679" s="40"/>
      <c r="H679" s="40"/>
      <c r="I679" s="41"/>
      <c r="K679" s="42"/>
      <c r="L679" s="42"/>
      <c r="M679" s="41"/>
      <c r="N679" s="43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J679" s="41"/>
      <c r="AM679" s="44"/>
    </row>
    <row r="680">
      <c r="B680" s="39"/>
      <c r="C680" s="40"/>
      <c r="E680" s="40"/>
      <c r="F680" s="40"/>
      <c r="G680" s="40"/>
      <c r="H680" s="40"/>
      <c r="I680" s="41"/>
      <c r="K680" s="42"/>
      <c r="L680" s="42"/>
      <c r="M680" s="41"/>
      <c r="N680" s="43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J680" s="41"/>
      <c r="AM680" s="44"/>
    </row>
    <row r="681">
      <c r="B681" s="39"/>
      <c r="C681" s="40"/>
      <c r="E681" s="40"/>
      <c r="F681" s="40"/>
      <c r="G681" s="40"/>
      <c r="H681" s="40"/>
      <c r="I681" s="41"/>
      <c r="K681" s="42"/>
      <c r="L681" s="42"/>
      <c r="M681" s="41"/>
      <c r="N681" s="43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J681" s="41"/>
      <c r="AM681" s="44"/>
    </row>
    <row r="682">
      <c r="B682" s="39"/>
      <c r="C682" s="40"/>
      <c r="E682" s="40"/>
      <c r="F682" s="40"/>
      <c r="G682" s="40"/>
      <c r="H682" s="40"/>
      <c r="I682" s="41"/>
      <c r="K682" s="42"/>
      <c r="L682" s="42"/>
      <c r="M682" s="41"/>
      <c r="N682" s="43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J682" s="41"/>
      <c r="AM682" s="44"/>
    </row>
    <row r="683">
      <c r="B683" s="39"/>
      <c r="C683" s="40"/>
      <c r="E683" s="40"/>
      <c r="F683" s="40"/>
      <c r="G683" s="40"/>
      <c r="H683" s="40"/>
      <c r="I683" s="41"/>
      <c r="K683" s="42"/>
      <c r="L683" s="42"/>
      <c r="M683" s="41"/>
      <c r="N683" s="43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J683" s="41"/>
      <c r="AM683" s="44"/>
    </row>
    <row r="684">
      <c r="B684" s="39"/>
      <c r="C684" s="40"/>
      <c r="E684" s="40"/>
      <c r="F684" s="40"/>
      <c r="G684" s="40"/>
      <c r="H684" s="40"/>
      <c r="I684" s="41"/>
      <c r="K684" s="42"/>
      <c r="L684" s="42"/>
      <c r="M684" s="41"/>
      <c r="N684" s="43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J684" s="41"/>
      <c r="AM684" s="44"/>
    </row>
    <row r="685">
      <c r="B685" s="39"/>
      <c r="C685" s="40"/>
      <c r="E685" s="40"/>
      <c r="F685" s="40"/>
      <c r="G685" s="40"/>
      <c r="H685" s="40"/>
      <c r="I685" s="41"/>
      <c r="K685" s="42"/>
      <c r="L685" s="42"/>
      <c r="M685" s="41"/>
      <c r="N685" s="43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J685" s="41"/>
      <c r="AM685" s="44"/>
    </row>
    <row r="686">
      <c r="B686" s="39"/>
      <c r="C686" s="40"/>
      <c r="E686" s="40"/>
      <c r="F686" s="40"/>
      <c r="G686" s="40"/>
      <c r="H686" s="40"/>
      <c r="I686" s="41"/>
      <c r="K686" s="42"/>
      <c r="L686" s="42"/>
      <c r="M686" s="41"/>
      <c r="N686" s="43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J686" s="41"/>
      <c r="AM686" s="44"/>
    </row>
    <row r="687">
      <c r="B687" s="39"/>
      <c r="C687" s="40"/>
      <c r="E687" s="40"/>
      <c r="F687" s="40"/>
      <c r="G687" s="40"/>
      <c r="H687" s="40"/>
      <c r="I687" s="41"/>
      <c r="K687" s="42"/>
      <c r="L687" s="42"/>
      <c r="M687" s="41"/>
      <c r="N687" s="43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J687" s="41"/>
      <c r="AM687" s="44"/>
    </row>
    <row r="688">
      <c r="B688" s="39"/>
      <c r="C688" s="40"/>
      <c r="E688" s="40"/>
      <c r="F688" s="40"/>
      <c r="G688" s="40"/>
      <c r="H688" s="40"/>
      <c r="I688" s="41"/>
      <c r="K688" s="42"/>
      <c r="L688" s="42"/>
      <c r="M688" s="41"/>
      <c r="N688" s="43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J688" s="41"/>
      <c r="AM688" s="44"/>
    </row>
    <row r="689">
      <c r="B689" s="39"/>
      <c r="C689" s="40"/>
      <c r="E689" s="40"/>
      <c r="F689" s="40"/>
      <c r="G689" s="40"/>
      <c r="H689" s="40"/>
      <c r="I689" s="41"/>
      <c r="K689" s="42"/>
      <c r="L689" s="42"/>
      <c r="M689" s="41"/>
      <c r="N689" s="43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  <c r="AE689" s="41"/>
      <c r="AF689" s="41"/>
      <c r="AG689" s="41"/>
      <c r="AH689" s="41"/>
      <c r="AJ689" s="41"/>
      <c r="AM689" s="44"/>
    </row>
    <row r="690">
      <c r="B690" s="39"/>
      <c r="C690" s="40"/>
      <c r="E690" s="40"/>
      <c r="F690" s="40"/>
      <c r="G690" s="40"/>
      <c r="H690" s="40"/>
      <c r="I690" s="41"/>
      <c r="K690" s="42"/>
      <c r="L690" s="42"/>
      <c r="M690" s="41"/>
      <c r="N690" s="43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  <c r="AE690" s="41"/>
      <c r="AF690" s="41"/>
      <c r="AG690" s="41"/>
      <c r="AH690" s="41"/>
      <c r="AJ690" s="41"/>
      <c r="AM690" s="44"/>
    </row>
    <row r="691">
      <c r="B691" s="39"/>
      <c r="C691" s="40"/>
      <c r="E691" s="40"/>
      <c r="F691" s="40"/>
      <c r="G691" s="40"/>
      <c r="H691" s="40"/>
      <c r="I691" s="41"/>
      <c r="K691" s="42"/>
      <c r="L691" s="42"/>
      <c r="M691" s="41"/>
      <c r="N691" s="43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  <c r="AD691" s="41"/>
      <c r="AE691" s="41"/>
      <c r="AF691" s="41"/>
      <c r="AG691" s="41"/>
      <c r="AH691" s="41"/>
      <c r="AJ691" s="41"/>
      <c r="AM691" s="44"/>
    </row>
    <row r="692">
      <c r="B692" s="39"/>
      <c r="C692" s="40"/>
      <c r="E692" s="40"/>
      <c r="F692" s="40"/>
      <c r="G692" s="40"/>
      <c r="H692" s="40"/>
      <c r="I692" s="41"/>
      <c r="K692" s="42"/>
      <c r="L692" s="42"/>
      <c r="M692" s="41"/>
      <c r="N692" s="43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  <c r="AD692" s="41"/>
      <c r="AE692" s="41"/>
      <c r="AF692" s="41"/>
      <c r="AG692" s="41"/>
      <c r="AH692" s="41"/>
      <c r="AJ692" s="41"/>
      <c r="AM692" s="44"/>
    </row>
    <row r="693">
      <c r="B693" s="39"/>
      <c r="C693" s="40"/>
      <c r="E693" s="40"/>
      <c r="F693" s="40"/>
      <c r="G693" s="40"/>
      <c r="H693" s="40"/>
      <c r="I693" s="41"/>
      <c r="K693" s="42"/>
      <c r="L693" s="42"/>
      <c r="M693" s="41"/>
      <c r="N693" s="43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  <c r="AD693" s="41"/>
      <c r="AE693" s="41"/>
      <c r="AF693" s="41"/>
      <c r="AG693" s="41"/>
      <c r="AH693" s="41"/>
      <c r="AJ693" s="41"/>
      <c r="AM693" s="44"/>
    </row>
    <row r="694">
      <c r="B694" s="39"/>
      <c r="C694" s="40"/>
      <c r="E694" s="40"/>
      <c r="F694" s="40"/>
      <c r="G694" s="40"/>
      <c r="H694" s="40"/>
      <c r="I694" s="41"/>
      <c r="K694" s="42"/>
      <c r="L694" s="42"/>
      <c r="M694" s="41"/>
      <c r="N694" s="43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  <c r="AD694" s="41"/>
      <c r="AE694" s="41"/>
      <c r="AF694" s="41"/>
      <c r="AG694" s="41"/>
      <c r="AH694" s="41"/>
      <c r="AJ694" s="41"/>
      <c r="AM694" s="44"/>
    </row>
    <row r="695">
      <c r="B695" s="39"/>
      <c r="C695" s="40"/>
      <c r="E695" s="40"/>
      <c r="F695" s="40"/>
      <c r="G695" s="40"/>
      <c r="H695" s="40"/>
      <c r="I695" s="41"/>
      <c r="K695" s="42"/>
      <c r="L695" s="42"/>
      <c r="M695" s="41"/>
      <c r="N695" s="43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  <c r="AD695" s="41"/>
      <c r="AE695" s="41"/>
      <c r="AF695" s="41"/>
      <c r="AG695" s="41"/>
      <c r="AH695" s="41"/>
      <c r="AJ695" s="41"/>
      <c r="AM695" s="44"/>
    </row>
    <row r="696">
      <c r="B696" s="39"/>
      <c r="C696" s="40"/>
      <c r="E696" s="40"/>
      <c r="F696" s="40"/>
      <c r="G696" s="40"/>
      <c r="H696" s="40"/>
      <c r="I696" s="41"/>
      <c r="K696" s="42"/>
      <c r="L696" s="42"/>
      <c r="M696" s="41"/>
      <c r="N696" s="43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41"/>
      <c r="AE696" s="41"/>
      <c r="AF696" s="41"/>
      <c r="AG696" s="41"/>
      <c r="AH696" s="41"/>
      <c r="AJ696" s="41"/>
      <c r="AM696" s="44"/>
    </row>
    <row r="697">
      <c r="B697" s="39"/>
      <c r="C697" s="40"/>
      <c r="E697" s="40"/>
      <c r="F697" s="40"/>
      <c r="G697" s="40"/>
      <c r="H697" s="40"/>
      <c r="I697" s="41"/>
      <c r="K697" s="42"/>
      <c r="L697" s="42"/>
      <c r="M697" s="41"/>
      <c r="N697" s="43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  <c r="AE697" s="41"/>
      <c r="AF697" s="41"/>
      <c r="AG697" s="41"/>
      <c r="AH697" s="41"/>
      <c r="AJ697" s="41"/>
      <c r="AM697" s="44"/>
    </row>
    <row r="698">
      <c r="B698" s="39"/>
      <c r="C698" s="40"/>
      <c r="E698" s="40"/>
      <c r="F698" s="40"/>
      <c r="G698" s="40"/>
      <c r="H698" s="40"/>
      <c r="I698" s="41"/>
      <c r="K698" s="42"/>
      <c r="L698" s="42"/>
      <c r="M698" s="41"/>
      <c r="N698" s="43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  <c r="AE698" s="41"/>
      <c r="AF698" s="41"/>
      <c r="AG698" s="41"/>
      <c r="AH698" s="41"/>
      <c r="AJ698" s="41"/>
      <c r="AM698" s="44"/>
    </row>
    <row r="699">
      <c r="B699" s="39"/>
      <c r="C699" s="40"/>
      <c r="E699" s="40"/>
      <c r="F699" s="40"/>
      <c r="G699" s="40"/>
      <c r="H699" s="40"/>
      <c r="I699" s="41"/>
      <c r="K699" s="42"/>
      <c r="L699" s="42"/>
      <c r="M699" s="41"/>
      <c r="N699" s="43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41"/>
      <c r="AE699" s="41"/>
      <c r="AF699" s="41"/>
      <c r="AG699" s="41"/>
      <c r="AH699" s="41"/>
      <c r="AJ699" s="41"/>
      <c r="AM699" s="44"/>
    </row>
    <row r="700">
      <c r="B700" s="39"/>
      <c r="C700" s="40"/>
      <c r="E700" s="40"/>
      <c r="F700" s="40"/>
      <c r="G700" s="40"/>
      <c r="H700" s="40"/>
      <c r="I700" s="41"/>
      <c r="K700" s="42"/>
      <c r="L700" s="42"/>
      <c r="M700" s="41"/>
      <c r="N700" s="43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41"/>
      <c r="AF700" s="41"/>
      <c r="AG700" s="41"/>
      <c r="AH700" s="41"/>
      <c r="AJ700" s="41"/>
      <c r="AM700" s="44"/>
    </row>
    <row r="701">
      <c r="B701" s="39"/>
      <c r="C701" s="40"/>
      <c r="E701" s="40"/>
      <c r="F701" s="40"/>
      <c r="G701" s="40"/>
      <c r="H701" s="40"/>
      <c r="I701" s="41"/>
      <c r="K701" s="42"/>
      <c r="L701" s="42"/>
      <c r="M701" s="41"/>
      <c r="N701" s="43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  <c r="AD701" s="41"/>
      <c r="AE701" s="41"/>
      <c r="AF701" s="41"/>
      <c r="AG701" s="41"/>
      <c r="AH701" s="41"/>
      <c r="AJ701" s="41"/>
      <c r="AM701" s="44"/>
    </row>
    <row r="702">
      <c r="B702" s="39"/>
      <c r="C702" s="40"/>
      <c r="E702" s="40"/>
      <c r="F702" s="40"/>
      <c r="G702" s="40"/>
      <c r="H702" s="40"/>
      <c r="I702" s="41"/>
      <c r="K702" s="42"/>
      <c r="L702" s="42"/>
      <c r="M702" s="41"/>
      <c r="N702" s="43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  <c r="AD702" s="41"/>
      <c r="AE702" s="41"/>
      <c r="AF702" s="41"/>
      <c r="AG702" s="41"/>
      <c r="AH702" s="41"/>
      <c r="AJ702" s="41"/>
      <c r="AM702" s="44"/>
    </row>
    <row r="703">
      <c r="B703" s="39"/>
      <c r="C703" s="40"/>
      <c r="E703" s="40"/>
      <c r="F703" s="40"/>
      <c r="G703" s="40"/>
      <c r="H703" s="40"/>
      <c r="I703" s="41"/>
      <c r="K703" s="42"/>
      <c r="L703" s="42"/>
      <c r="M703" s="41"/>
      <c r="N703" s="43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  <c r="AD703" s="41"/>
      <c r="AE703" s="41"/>
      <c r="AF703" s="41"/>
      <c r="AG703" s="41"/>
      <c r="AH703" s="41"/>
      <c r="AJ703" s="41"/>
      <c r="AM703" s="44"/>
    </row>
    <row r="704">
      <c r="B704" s="39"/>
      <c r="C704" s="40"/>
      <c r="E704" s="40"/>
      <c r="F704" s="40"/>
      <c r="G704" s="40"/>
      <c r="H704" s="40"/>
      <c r="I704" s="41"/>
      <c r="K704" s="42"/>
      <c r="L704" s="42"/>
      <c r="M704" s="41"/>
      <c r="N704" s="43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  <c r="AD704" s="41"/>
      <c r="AE704" s="41"/>
      <c r="AF704" s="41"/>
      <c r="AG704" s="41"/>
      <c r="AH704" s="41"/>
      <c r="AJ704" s="41"/>
      <c r="AM704" s="44"/>
    </row>
    <row r="705">
      <c r="B705" s="39"/>
      <c r="C705" s="40"/>
      <c r="E705" s="40"/>
      <c r="F705" s="40"/>
      <c r="G705" s="40"/>
      <c r="H705" s="40"/>
      <c r="I705" s="41"/>
      <c r="K705" s="42"/>
      <c r="L705" s="42"/>
      <c r="M705" s="41"/>
      <c r="N705" s="43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  <c r="AD705" s="41"/>
      <c r="AE705" s="41"/>
      <c r="AF705" s="41"/>
      <c r="AG705" s="41"/>
      <c r="AH705" s="41"/>
      <c r="AJ705" s="41"/>
      <c r="AM705" s="44"/>
    </row>
    <row r="706">
      <c r="B706" s="39"/>
      <c r="C706" s="40"/>
      <c r="E706" s="40"/>
      <c r="F706" s="40"/>
      <c r="G706" s="40"/>
      <c r="H706" s="40"/>
      <c r="I706" s="41"/>
      <c r="K706" s="42"/>
      <c r="L706" s="42"/>
      <c r="M706" s="41"/>
      <c r="N706" s="43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41"/>
      <c r="AE706" s="41"/>
      <c r="AF706" s="41"/>
      <c r="AG706" s="41"/>
      <c r="AH706" s="41"/>
      <c r="AJ706" s="41"/>
      <c r="AM706" s="44"/>
    </row>
    <row r="707">
      <c r="B707" s="39"/>
      <c r="C707" s="40"/>
      <c r="E707" s="40"/>
      <c r="F707" s="40"/>
      <c r="G707" s="40"/>
      <c r="H707" s="40"/>
      <c r="I707" s="41"/>
      <c r="K707" s="42"/>
      <c r="L707" s="42"/>
      <c r="M707" s="41"/>
      <c r="N707" s="43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  <c r="AD707" s="41"/>
      <c r="AE707" s="41"/>
      <c r="AF707" s="41"/>
      <c r="AG707" s="41"/>
      <c r="AH707" s="41"/>
      <c r="AJ707" s="41"/>
      <c r="AM707" s="44"/>
    </row>
    <row r="708">
      <c r="B708" s="39"/>
      <c r="C708" s="40"/>
      <c r="E708" s="40"/>
      <c r="F708" s="40"/>
      <c r="G708" s="40"/>
      <c r="H708" s="40"/>
      <c r="I708" s="41"/>
      <c r="K708" s="42"/>
      <c r="L708" s="42"/>
      <c r="M708" s="41"/>
      <c r="N708" s="43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  <c r="AE708" s="41"/>
      <c r="AF708" s="41"/>
      <c r="AG708" s="41"/>
      <c r="AH708" s="41"/>
      <c r="AJ708" s="41"/>
      <c r="AM708" s="44"/>
    </row>
    <row r="709">
      <c r="B709" s="39"/>
      <c r="C709" s="40"/>
      <c r="E709" s="40"/>
      <c r="F709" s="40"/>
      <c r="G709" s="40"/>
      <c r="H709" s="40"/>
      <c r="I709" s="41"/>
      <c r="K709" s="42"/>
      <c r="L709" s="42"/>
      <c r="M709" s="41"/>
      <c r="N709" s="43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  <c r="AE709" s="41"/>
      <c r="AF709" s="41"/>
      <c r="AG709" s="41"/>
      <c r="AH709" s="41"/>
      <c r="AJ709" s="41"/>
      <c r="AM709" s="44"/>
    </row>
    <row r="710">
      <c r="B710" s="39"/>
      <c r="C710" s="40"/>
      <c r="E710" s="40"/>
      <c r="F710" s="40"/>
      <c r="G710" s="40"/>
      <c r="H710" s="40"/>
      <c r="I710" s="41"/>
      <c r="K710" s="42"/>
      <c r="L710" s="42"/>
      <c r="M710" s="41"/>
      <c r="N710" s="43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  <c r="AE710" s="41"/>
      <c r="AF710" s="41"/>
      <c r="AG710" s="41"/>
      <c r="AH710" s="41"/>
      <c r="AJ710" s="41"/>
      <c r="AM710" s="44"/>
    </row>
    <row r="711">
      <c r="B711" s="39"/>
      <c r="C711" s="40"/>
      <c r="E711" s="40"/>
      <c r="F711" s="40"/>
      <c r="G711" s="40"/>
      <c r="H711" s="40"/>
      <c r="I711" s="41"/>
      <c r="K711" s="42"/>
      <c r="L711" s="42"/>
      <c r="M711" s="41"/>
      <c r="N711" s="43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41"/>
      <c r="AF711" s="41"/>
      <c r="AG711" s="41"/>
      <c r="AH711" s="41"/>
      <c r="AJ711" s="41"/>
      <c r="AM711" s="44"/>
    </row>
    <row r="712">
      <c r="B712" s="39"/>
      <c r="C712" s="40"/>
      <c r="E712" s="40"/>
      <c r="F712" s="40"/>
      <c r="G712" s="40"/>
      <c r="H712" s="40"/>
      <c r="I712" s="41"/>
      <c r="K712" s="42"/>
      <c r="L712" s="42"/>
      <c r="M712" s="41"/>
      <c r="N712" s="43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  <c r="AD712" s="41"/>
      <c r="AE712" s="41"/>
      <c r="AF712" s="41"/>
      <c r="AG712" s="41"/>
      <c r="AH712" s="41"/>
      <c r="AJ712" s="41"/>
      <c r="AM712" s="44"/>
    </row>
    <row r="713">
      <c r="B713" s="39"/>
      <c r="C713" s="40"/>
      <c r="E713" s="40"/>
      <c r="F713" s="40"/>
      <c r="G713" s="40"/>
      <c r="H713" s="40"/>
      <c r="I713" s="41"/>
      <c r="K713" s="42"/>
      <c r="L713" s="42"/>
      <c r="M713" s="41"/>
      <c r="N713" s="43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  <c r="AD713" s="41"/>
      <c r="AE713" s="41"/>
      <c r="AF713" s="41"/>
      <c r="AG713" s="41"/>
      <c r="AH713" s="41"/>
      <c r="AJ713" s="41"/>
      <c r="AM713" s="44"/>
    </row>
    <row r="714">
      <c r="B714" s="39"/>
      <c r="C714" s="40"/>
      <c r="E714" s="40"/>
      <c r="F714" s="40"/>
      <c r="G714" s="40"/>
      <c r="H714" s="40"/>
      <c r="I714" s="41"/>
      <c r="K714" s="42"/>
      <c r="L714" s="42"/>
      <c r="M714" s="41"/>
      <c r="N714" s="43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  <c r="AD714" s="41"/>
      <c r="AE714" s="41"/>
      <c r="AF714" s="41"/>
      <c r="AG714" s="41"/>
      <c r="AH714" s="41"/>
      <c r="AJ714" s="41"/>
      <c r="AM714" s="44"/>
    </row>
    <row r="715">
      <c r="B715" s="39"/>
      <c r="C715" s="40"/>
      <c r="E715" s="40"/>
      <c r="F715" s="40"/>
      <c r="G715" s="40"/>
      <c r="H715" s="40"/>
      <c r="I715" s="41"/>
      <c r="K715" s="42"/>
      <c r="L715" s="42"/>
      <c r="M715" s="41"/>
      <c r="N715" s="43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  <c r="AD715" s="41"/>
      <c r="AE715" s="41"/>
      <c r="AF715" s="41"/>
      <c r="AG715" s="41"/>
      <c r="AH715" s="41"/>
      <c r="AJ715" s="41"/>
      <c r="AM715" s="44"/>
    </row>
    <row r="716">
      <c r="B716" s="39"/>
      <c r="C716" s="40"/>
      <c r="E716" s="40"/>
      <c r="F716" s="40"/>
      <c r="G716" s="40"/>
      <c r="H716" s="40"/>
      <c r="I716" s="41"/>
      <c r="K716" s="42"/>
      <c r="L716" s="42"/>
      <c r="M716" s="41"/>
      <c r="N716" s="43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  <c r="AE716" s="41"/>
      <c r="AF716" s="41"/>
      <c r="AG716" s="41"/>
      <c r="AH716" s="41"/>
      <c r="AJ716" s="41"/>
      <c r="AM716" s="44"/>
    </row>
    <row r="717">
      <c r="B717" s="39"/>
      <c r="C717" s="40"/>
      <c r="E717" s="40"/>
      <c r="F717" s="40"/>
      <c r="G717" s="40"/>
      <c r="H717" s="40"/>
      <c r="I717" s="41"/>
      <c r="K717" s="42"/>
      <c r="L717" s="42"/>
      <c r="M717" s="41"/>
      <c r="N717" s="43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  <c r="AE717" s="41"/>
      <c r="AF717" s="41"/>
      <c r="AG717" s="41"/>
      <c r="AH717" s="41"/>
      <c r="AJ717" s="41"/>
      <c r="AM717" s="44"/>
    </row>
    <row r="718">
      <c r="B718" s="39"/>
      <c r="C718" s="40"/>
      <c r="E718" s="40"/>
      <c r="F718" s="40"/>
      <c r="G718" s="40"/>
      <c r="H718" s="40"/>
      <c r="I718" s="41"/>
      <c r="K718" s="42"/>
      <c r="L718" s="42"/>
      <c r="M718" s="41"/>
      <c r="N718" s="43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  <c r="AE718" s="41"/>
      <c r="AF718" s="41"/>
      <c r="AG718" s="41"/>
      <c r="AH718" s="41"/>
      <c r="AJ718" s="41"/>
      <c r="AM718" s="44"/>
    </row>
    <row r="719">
      <c r="B719" s="39"/>
      <c r="C719" s="40"/>
      <c r="E719" s="40"/>
      <c r="F719" s="40"/>
      <c r="G719" s="40"/>
      <c r="H719" s="40"/>
      <c r="I719" s="41"/>
      <c r="K719" s="42"/>
      <c r="L719" s="42"/>
      <c r="M719" s="41"/>
      <c r="N719" s="43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  <c r="AD719" s="41"/>
      <c r="AE719" s="41"/>
      <c r="AF719" s="41"/>
      <c r="AG719" s="41"/>
      <c r="AH719" s="41"/>
      <c r="AJ719" s="41"/>
      <c r="AM719" s="44"/>
    </row>
    <row r="720">
      <c r="B720" s="39"/>
      <c r="C720" s="40"/>
      <c r="E720" s="40"/>
      <c r="F720" s="40"/>
      <c r="G720" s="40"/>
      <c r="H720" s="40"/>
      <c r="I720" s="41"/>
      <c r="K720" s="42"/>
      <c r="L720" s="42"/>
      <c r="M720" s="41"/>
      <c r="N720" s="43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  <c r="AE720" s="41"/>
      <c r="AF720" s="41"/>
      <c r="AG720" s="41"/>
      <c r="AH720" s="41"/>
      <c r="AJ720" s="41"/>
      <c r="AM720" s="44"/>
    </row>
    <row r="721">
      <c r="B721" s="39"/>
      <c r="C721" s="40"/>
      <c r="E721" s="40"/>
      <c r="F721" s="40"/>
      <c r="G721" s="40"/>
      <c r="H721" s="40"/>
      <c r="I721" s="41"/>
      <c r="K721" s="42"/>
      <c r="L721" s="42"/>
      <c r="M721" s="41"/>
      <c r="N721" s="43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  <c r="AE721" s="41"/>
      <c r="AF721" s="41"/>
      <c r="AG721" s="41"/>
      <c r="AH721" s="41"/>
      <c r="AJ721" s="41"/>
      <c r="AM721" s="44"/>
    </row>
    <row r="722">
      <c r="B722" s="39"/>
      <c r="C722" s="40"/>
      <c r="E722" s="40"/>
      <c r="F722" s="40"/>
      <c r="G722" s="40"/>
      <c r="H722" s="40"/>
      <c r="I722" s="41"/>
      <c r="K722" s="42"/>
      <c r="L722" s="42"/>
      <c r="M722" s="41"/>
      <c r="N722" s="43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  <c r="AE722" s="41"/>
      <c r="AF722" s="41"/>
      <c r="AG722" s="41"/>
      <c r="AH722" s="41"/>
      <c r="AJ722" s="41"/>
      <c r="AM722" s="44"/>
    </row>
    <row r="723">
      <c r="B723" s="39"/>
      <c r="C723" s="40"/>
      <c r="E723" s="40"/>
      <c r="F723" s="40"/>
      <c r="G723" s="40"/>
      <c r="H723" s="40"/>
      <c r="I723" s="41"/>
      <c r="K723" s="42"/>
      <c r="L723" s="42"/>
      <c r="M723" s="41"/>
      <c r="N723" s="43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  <c r="AD723" s="41"/>
      <c r="AE723" s="41"/>
      <c r="AF723" s="41"/>
      <c r="AG723" s="41"/>
      <c r="AH723" s="41"/>
      <c r="AJ723" s="41"/>
      <c r="AM723" s="44"/>
    </row>
    <row r="724">
      <c r="B724" s="39"/>
      <c r="C724" s="40"/>
      <c r="E724" s="40"/>
      <c r="F724" s="40"/>
      <c r="G724" s="40"/>
      <c r="H724" s="40"/>
      <c r="I724" s="41"/>
      <c r="K724" s="42"/>
      <c r="L724" s="42"/>
      <c r="M724" s="41"/>
      <c r="N724" s="43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  <c r="AD724" s="41"/>
      <c r="AE724" s="41"/>
      <c r="AF724" s="41"/>
      <c r="AG724" s="41"/>
      <c r="AH724" s="41"/>
      <c r="AJ724" s="41"/>
      <c r="AM724" s="44"/>
    </row>
    <row r="725">
      <c r="B725" s="39"/>
      <c r="C725" s="40"/>
      <c r="E725" s="40"/>
      <c r="F725" s="40"/>
      <c r="G725" s="40"/>
      <c r="H725" s="40"/>
      <c r="I725" s="41"/>
      <c r="K725" s="42"/>
      <c r="L725" s="42"/>
      <c r="M725" s="41"/>
      <c r="N725" s="43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  <c r="AE725" s="41"/>
      <c r="AF725" s="41"/>
      <c r="AG725" s="41"/>
      <c r="AH725" s="41"/>
      <c r="AJ725" s="41"/>
      <c r="AM725" s="44"/>
    </row>
    <row r="726">
      <c r="B726" s="39"/>
      <c r="C726" s="40"/>
      <c r="E726" s="40"/>
      <c r="F726" s="40"/>
      <c r="G726" s="40"/>
      <c r="H726" s="40"/>
      <c r="I726" s="41"/>
      <c r="K726" s="42"/>
      <c r="L726" s="42"/>
      <c r="M726" s="41"/>
      <c r="N726" s="43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  <c r="AE726" s="41"/>
      <c r="AF726" s="41"/>
      <c r="AG726" s="41"/>
      <c r="AH726" s="41"/>
      <c r="AJ726" s="41"/>
      <c r="AM726" s="44"/>
    </row>
    <row r="727">
      <c r="B727" s="39"/>
      <c r="C727" s="40"/>
      <c r="E727" s="40"/>
      <c r="F727" s="40"/>
      <c r="G727" s="40"/>
      <c r="H727" s="40"/>
      <c r="I727" s="41"/>
      <c r="K727" s="42"/>
      <c r="L727" s="42"/>
      <c r="M727" s="41"/>
      <c r="N727" s="43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  <c r="AD727" s="41"/>
      <c r="AE727" s="41"/>
      <c r="AF727" s="41"/>
      <c r="AG727" s="41"/>
      <c r="AH727" s="41"/>
      <c r="AJ727" s="41"/>
      <c r="AM727" s="44"/>
    </row>
    <row r="728">
      <c r="B728" s="39"/>
      <c r="C728" s="40"/>
      <c r="E728" s="40"/>
      <c r="F728" s="40"/>
      <c r="G728" s="40"/>
      <c r="H728" s="40"/>
      <c r="I728" s="41"/>
      <c r="K728" s="42"/>
      <c r="L728" s="42"/>
      <c r="M728" s="41"/>
      <c r="N728" s="43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  <c r="AD728" s="41"/>
      <c r="AE728" s="41"/>
      <c r="AF728" s="41"/>
      <c r="AG728" s="41"/>
      <c r="AH728" s="41"/>
      <c r="AJ728" s="41"/>
      <c r="AM728" s="44"/>
    </row>
    <row r="729">
      <c r="B729" s="39"/>
      <c r="C729" s="40"/>
      <c r="E729" s="40"/>
      <c r="F729" s="40"/>
      <c r="G729" s="40"/>
      <c r="H729" s="40"/>
      <c r="I729" s="41"/>
      <c r="K729" s="42"/>
      <c r="L729" s="42"/>
      <c r="M729" s="41"/>
      <c r="N729" s="43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  <c r="AD729" s="41"/>
      <c r="AE729" s="41"/>
      <c r="AF729" s="41"/>
      <c r="AG729" s="41"/>
      <c r="AH729" s="41"/>
      <c r="AJ729" s="41"/>
      <c r="AM729" s="44"/>
    </row>
    <row r="730">
      <c r="B730" s="39"/>
      <c r="C730" s="40"/>
      <c r="E730" s="40"/>
      <c r="F730" s="40"/>
      <c r="G730" s="40"/>
      <c r="H730" s="40"/>
      <c r="I730" s="41"/>
      <c r="K730" s="42"/>
      <c r="L730" s="42"/>
      <c r="M730" s="41"/>
      <c r="N730" s="43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  <c r="AE730" s="41"/>
      <c r="AF730" s="41"/>
      <c r="AG730" s="41"/>
      <c r="AH730" s="41"/>
      <c r="AJ730" s="41"/>
      <c r="AM730" s="44"/>
    </row>
    <row r="731">
      <c r="B731" s="39"/>
      <c r="C731" s="40"/>
      <c r="E731" s="40"/>
      <c r="F731" s="40"/>
      <c r="G731" s="40"/>
      <c r="H731" s="40"/>
      <c r="I731" s="41"/>
      <c r="K731" s="42"/>
      <c r="L731" s="42"/>
      <c r="M731" s="41"/>
      <c r="N731" s="43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  <c r="AE731" s="41"/>
      <c r="AF731" s="41"/>
      <c r="AG731" s="41"/>
      <c r="AH731" s="41"/>
      <c r="AJ731" s="41"/>
      <c r="AM731" s="44"/>
    </row>
    <row r="732">
      <c r="B732" s="39"/>
      <c r="C732" s="40"/>
      <c r="E732" s="40"/>
      <c r="F732" s="40"/>
      <c r="G732" s="40"/>
      <c r="H732" s="40"/>
      <c r="I732" s="41"/>
      <c r="K732" s="42"/>
      <c r="L732" s="42"/>
      <c r="M732" s="41"/>
      <c r="N732" s="43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  <c r="AD732" s="41"/>
      <c r="AE732" s="41"/>
      <c r="AF732" s="41"/>
      <c r="AG732" s="41"/>
      <c r="AH732" s="41"/>
      <c r="AJ732" s="41"/>
      <c r="AM732" s="44"/>
    </row>
    <row r="733">
      <c r="B733" s="39"/>
      <c r="C733" s="40"/>
      <c r="E733" s="40"/>
      <c r="F733" s="40"/>
      <c r="G733" s="40"/>
      <c r="H733" s="40"/>
      <c r="I733" s="41"/>
      <c r="K733" s="42"/>
      <c r="L733" s="42"/>
      <c r="M733" s="41"/>
      <c r="N733" s="43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  <c r="AE733" s="41"/>
      <c r="AF733" s="41"/>
      <c r="AG733" s="41"/>
      <c r="AH733" s="41"/>
      <c r="AJ733" s="41"/>
      <c r="AM733" s="44"/>
    </row>
    <row r="734">
      <c r="B734" s="39"/>
      <c r="C734" s="40"/>
      <c r="E734" s="40"/>
      <c r="F734" s="40"/>
      <c r="G734" s="40"/>
      <c r="H734" s="40"/>
      <c r="I734" s="41"/>
      <c r="K734" s="42"/>
      <c r="L734" s="42"/>
      <c r="M734" s="41"/>
      <c r="N734" s="43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  <c r="AE734" s="41"/>
      <c r="AF734" s="41"/>
      <c r="AG734" s="41"/>
      <c r="AH734" s="41"/>
      <c r="AJ734" s="41"/>
      <c r="AM734" s="44"/>
    </row>
    <row r="735">
      <c r="B735" s="39"/>
      <c r="C735" s="40"/>
      <c r="E735" s="40"/>
      <c r="F735" s="40"/>
      <c r="G735" s="40"/>
      <c r="H735" s="40"/>
      <c r="I735" s="41"/>
      <c r="K735" s="42"/>
      <c r="L735" s="42"/>
      <c r="M735" s="41"/>
      <c r="N735" s="43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  <c r="AE735" s="41"/>
      <c r="AF735" s="41"/>
      <c r="AG735" s="41"/>
      <c r="AH735" s="41"/>
      <c r="AJ735" s="41"/>
      <c r="AM735" s="44"/>
    </row>
    <row r="736">
      <c r="B736" s="39"/>
      <c r="C736" s="40"/>
      <c r="E736" s="40"/>
      <c r="F736" s="40"/>
      <c r="G736" s="40"/>
      <c r="H736" s="40"/>
      <c r="I736" s="41"/>
      <c r="K736" s="42"/>
      <c r="L736" s="42"/>
      <c r="M736" s="41"/>
      <c r="N736" s="43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  <c r="AH736" s="41"/>
      <c r="AJ736" s="41"/>
      <c r="AM736" s="44"/>
    </row>
    <row r="737">
      <c r="B737" s="39"/>
      <c r="C737" s="40"/>
      <c r="E737" s="40"/>
      <c r="F737" s="40"/>
      <c r="G737" s="40"/>
      <c r="H737" s="40"/>
      <c r="I737" s="41"/>
      <c r="K737" s="42"/>
      <c r="L737" s="42"/>
      <c r="M737" s="41"/>
      <c r="N737" s="43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  <c r="AE737" s="41"/>
      <c r="AF737" s="41"/>
      <c r="AG737" s="41"/>
      <c r="AH737" s="41"/>
      <c r="AJ737" s="41"/>
      <c r="AM737" s="44"/>
    </row>
    <row r="738">
      <c r="B738" s="39"/>
      <c r="C738" s="40"/>
      <c r="E738" s="40"/>
      <c r="F738" s="40"/>
      <c r="G738" s="40"/>
      <c r="H738" s="40"/>
      <c r="I738" s="41"/>
      <c r="K738" s="42"/>
      <c r="L738" s="42"/>
      <c r="M738" s="41"/>
      <c r="N738" s="43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  <c r="AE738" s="41"/>
      <c r="AF738" s="41"/>
      <c r="AG738" s="41"/>
      <c r="AH738" s="41"/>
      <c r="AJ738" s="41"/>
      <c r="AM738" s="44"/>
    </row>
    <row r="739">
      <c r="B739" s="39"/>
      <c r="C739" s="40"/>
      <c r="E739" s="40"/>
      <c r="F739" s="40"/>
      <c r="G739" s="40"/>
      <c r="H739" s="40"/>
      <c r="I739" s="41"/>
      <c r="K739" s="42"/>
      <c r="L739" s="42"/>
      <c r="M739" s="41"/>
      <c r="N739" s="43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  <c r="AD739" s="41"/>
      <c r="AE739" s="41"/>
      <c r="AF739" s="41"/>
      <c r="AG739" s="41"/>
      <c r="AH739" s="41"/>
      <c r="AJ739" s="41"/>
      <c r="AM739" s="44"/>
    </row>
    <row r="740">
      <c r="B740" s="39"/>
      <c r="C740" s="40"/>
      <c r="E740" s="40"/>
      <c r="F740" s="40"/>
      <c r="G740" s="40"/>
      <c r="H740" s="40"/>
      <c r="I740" s="41"/>
      <c r="K740" s="42"/>
      <c r="L740" s="42"/>
      <c r="M740" s="41"/>
      <c r="N740" s="43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  <c r="AE740" s="41"/>
      <c r="AF740" s="41"/>
      <c r="AG740" s="41"/>
      <c r="AH740" s="41"/>
      <c r="AJ740" s="41"/>
      <c r="AM740" s="44"/>
    </row>
    <row r="741">
      <c r="B741" s="39"/>
      <c r="C741" s="40"/>
      <c r="E741" s="40"/>
      <c r="F741" s="40"/>
      <c r="G741" s="40"/>
      <c r="H741" s="40"/>
      <c r="I741" s="41"/>
      <c r="K741" s="42"/>
      <c r="L741" s="42"/>
      <c r="M741" s="41"/>
      <c r="N741" s="43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  <c r="AE741" s="41"/>
      <c r="AF741" s="41"/>
      <c r="AG741" s="41"/>
      <c r="AH741" s="41"/>
      <c r="AJ741" s="41"/>
      <c r="AM741" s="44"/>
    </row>
    <row r="742">
      <c r="B742" s="39"/>
      <c r="C742" s="40"/>
      <c r="E742" s="40"/>
      <c r="F742" s="40"/>
      <c r="G742" s="40"/>
      <c r="H742" s="40"/>
      <c r="I742" s="41"/>
      <c r="K742" s="42"/>
      <c r="L742" s="42"/>
      <c r="M742" s="41"/>
      <c r="N742" s="43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41"/>
      <c r="AE742" s="41"/>
      <c r="AF742" s="41"/>
      <c r="AG742" s="41"/>
      <c r="AH742" s="41"/>
      <c r="AJ742" s="41"/>
      <c r="AM742" s="44"/>
    </row>
    <row r="743">
      <c r="B743" s="39"/>
      <c r="C743" s="40"/>
      <c r="E743" s="40"/>
      <c r="F743" s="40"/>
      <c r="G743" s="40"/>
      <c r="H743" s="40"/>
      <c r="I743" s="41"/>
      <c r="K743" s="42"/>
      <c r="L743" s="42"/>
      <c r="M743" s="41"/>
      <c r="N743" s="43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  <c r="AE743" s="41"/>
      <c r="AF743" s="41"/>
      <c r="AG743" s="41"/>
      <c r="AH743" s="41"/>
      <c r="AJ743" s="41"/>
      <c r="AM743" s="44"/>
    </row>
    <row r="744">
      <c r="B744" s="39"/>
      <c r="C744" s="40"/>
      <c r="E744" s="40"/>
      <c r="F744" s="40"/>
      <c r="G744" s="40"/>
      <c r="H744" s="40"/>
      <c r="I744" s="41"/>
      <c r="K744" s="42"/>
      <c r="L744" s="42"/>
      <c r="M744" s="41"/>
      <c r="N744" s="43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  <c r="AD744" s="41"/>
      <c r="AE744" s="41"/>
      <c r="AF744" s="41"/>
      <c r="AG744" s="41"/>
      <c r="AH744" s="41"/>
      <c r="AJ744" s="41"/>
      <c r="AM744" s="44"/>
    </row>
    <row r="745">
      <c r="B745" s="39"/>
      <c r="C745" s="40"/>
      <c r="E745" s="40"/>
      <c r="F745" s="40"/>
      <c r="G745" s="40"/>
      <c r="H745" s="40"/>
      <c r="I745" s="41"/>
      <c r="K745" s="42"/>
      <c r="L745" s="42"/>
      <c r="M745" s="41"/>
      <c r="N745" s="43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  <c r="AD745" s="41"/>
      <c r="AE745" s="41"/>
      <c r="AF745" s="41"/>
      <c r="AG745" s="41"/>
      <c r="AH745" s="41"/>
      <c r="AJ745" s="41"/>
      <c r="AM745" s="44"/>
    </row>
    <row r="746">
      <c r="B746" s="39"/>
      <c r="C746" s="40"/>
      <c r="E746" s="40"/>
      <c r="F746" s="40"/>
      <c r="G746" s="40"/>
      <c r="H746" s="40"/>
      <c r="I746" s="41"/>
      <c r="K746" s="42"/>
      <c r="L746" s="42"/>
      <c r="M746" s="41"/>
      <c r="N746" s="43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  <c r="AD746" s="41"/>
      <c r="AE746" s="41"/>
      <c r="AF746" s="41"/>
      <c r="AG746" s="41"/>
      <c r="AH746" s="41"/>
      <c r="AJ746" s="41"/>
      <c r="AM746" s="44"/>
    </row>
    <row r="747">
      <c r="B747" s="39"/>
      <c r="C747" s="40"/>
      <c r="E747" s="40"/>
      <c r="F747" s="40"/>
      <c r="G747" s="40"/>
      <c r="H747" s="40"/>
      <c r="I747" s="41"/>
      <c r="K747" s="42"/>
      <c r="L747" s="42"/>
      <c r="M747" s="41"/>
      <c r="N747" s="43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  <c r="AD747" s="41"/>
      <c r="AE747" s="41"/>
      <c r="AF747" s="41"/>
      <c r="AG747" s="41"/>
      <c r="AH747" s="41"/>
      <c r="AJ747" s="41"/>
      <c r="AM747" s="44"/>
    </row>
    <row r="748">
      <c r="B748" s="39"/>
      <c r="C748" s="40"/>
      <c r="E748" s="40"/>
      <c r="F748" s="40"/>
      <c r="G748" s="40"/>
      <c r="H748" s="40"/>
      <c r="I748" s="41"/>
      <c r="K748" s="42"/>
      <c r="L748" s="42"/>
      <c r="M748" s="41"/>
      <c r="N748" s="43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  <c r="AD748" s="41"/>
      <c r="AE748" s="41"/>
      <c r="AF748" s="41"/>
      <c r="AG748" s="41"/>
      <c r="AH748" s="41"/>
      <c r="AJ748" s="41"/>
      <c r="AM748" s="44"/>
    </row>
    <row r="749">
      <c r="B749" s="39"/>
      <c r="C749" s="40"/>
      <c r="E749" s="40"/>
      <c r="F749" s="40"/>
      <c r="G749" s="40"/>
      <c r="H749" s="40"/>
      <c r="I749" s="41"/>
      <c r="K749" s="42"/>
      <c r="L749" s="42"/>
      <c r="M749" s="41"/>
      <c r="N749" s="43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  <c r="AD749" s="41"/>
      <c r="AE749" s="41"/>
      <c r="AF749" s="41"/>
      <c r="AG749" s="41"/>
      <c r="AH749" s="41"/>
      <c r="AJ749" s="41"/>
      <c r="AM749" s="44"/>
    </row>
    <row r="750">
      <c r="B750" s="39"/>
      <c r="C750" s="40"/>
      <c r="E750" s="40"/>
      <c r="F750" s="40"/>
      <c r="G750" s="40"/>
      <c r="H750" s="40"/>
      <c r="I750" s="41"/>
      <c r="K750" s="42"/>
      <c r="L750" s="42"/>
      <c r="M750" s="41"/>
      <c r="N750" s="43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  <c r="AD750" s="41"/>
      <c r="AE750" s="41"/>
      <c r="AF750" s="41"/>
      <c r="AG750" s="41"/>
      <c r="AH750" s="41"/>
      <c r="AJ750" s="41"/>
      <c r="AM750" s="44"/>
    </row>
    <row r="751">
      <c r="B751" s="39"/>
      <c r="C751" s="40"/>
      <c r="E751" s="40"/>
      <c r="F751" s="40"/>
      <c r="G751" s="40"/>
      <c r="H751" s="40"/>
      <c r="I751" s="41"/>
      <c r="K751" s="42"/>
      <c r="L751" s="42"/>
      <c r="M751" s="41"/>
      <c r="N751" s="43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  <c r="AD751" s="41"/>
      <c r="AE751" s="41"/>
      <c r="AF751" s="41"/>
      <c r="AG751" s="41"/>
      <c r="AH751" s="41"/>
      <c r="AJ751" s="41"/>
      <c r="AM751" s="44"/>
    </row>
    <row r="752">
      <c r="B752" s="39"/>
      <c r="C752" s="40"/>
      <c r="E752" s="40"/>
      <c r="F752" s="40"/>
      <c r="G752" s="40"/>
      <c r="H752" s="40"/>
      <c r="I752" s="41"/>
      <c r="K752" s="42"/>
      <c r="L752" s="42"/>
      <c r="M752" s="41"/>
      <c r="N752" s="43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41"/>
      <c r="AE752" s="41"/>
      <c r="AF752" s="41"/>
      <c r="AG752" s="41"/>
      <c r="AH752" s="41"/>
      <c r="AJ752" s="41"/>
      <c r="AM752" s="44"/>
    </row>
    <row r="753">
      <c r="B753" s="39"/>
      <c r="C753" s="40"/>
      <c r="E753" s="40"/>
      <c r="F753" s="40"/>
      <c r="G753" s="40"/>
      <c r="H753" s="40"/>
      <c r="I753" s="41"/>
      <c r="K753" s="42"/>
      <c r="L753" s="42"/>
      <c r="M753" s="41"/>
      <c r="N753" s="43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  <c r="AD753" s="41"/>
      <c r="AE753" s="41"/>
      <c r="AF753" s="41"/>
      <c r="AG753" s="41"/>
      <c r="AH753" s="41"/>
      <c r="AJ753" s="41"/>
      <c r="AM753" s="44"/>
    </row>
    <row r="754">
      <c r="B754" s="39"/>
      <c r="C754" s="40"/>
      <c r="E754" s="40"/>
      <c r="F754" s="40"/>
      <c r="G754" s="40"/>
      <c r="H754" s="40"/>
      <c r="I754" s="41"/>
      <c r="K754" s="42"/>
      <c r="L754" s="42"/>
      <c r="M754" s="41"/>
      <c r="N754" s="43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  <c r="AE754" s="41"/>
      <c r="AF754" s="41"/>
      <c r="AG754" s="41"/>
      <c r="AH754" s="41"/>
      <c r="AJ754" s="41"/>
      <c r="AM754" s="44"/>
    </row>
    <row r="755">
      <c r="B755" s="39"/>
      <c r="C755" s="40"/>
      <c r="E755" s="40"/>
      <c r="F755" s="40"/>
      <c r="G755" s="40"/>
      <c r="H755" s="40"/>
      <c r="I755" s="41"/>
      <c r="K755" s="42"/>
      <c r="L755" s="42"/>
      <c r="M755" s="41"/>
      <c r="N755" s="43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  <c r="AD755" s="41"/>
      <c r="AE755" s="41"/>
      <c r="AF755" s="41"/>
      <c r="AG755" s="41"/>
      <c r="AH755" s="41"/>
      <c r="AJ755" s="41"/>
      <c r="AM755" s="44"/>
    </row>
    <row r="756">
      <c r="B756" s="39"/>
      <c r="C756" s="40"/>
      <c r="E756" s="40"/>
      <c r="F756" s="40"/>
      <c r="G756" s="40"/>
      <c r="H756" s="40"/>
      <c r="I756" s="41"/>
      <c r="K756" s="42"/>
      <c r="L756" s="42"/>
      <c r="M756" s="41"/>
      <c r="N756" s="43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  <c r="AD756" s="41"/>
      <c r="AE756" s="41"/>
      <c r="AF756" s="41"/>
      <c r="AG756" s="41"/>
      <c r="AH756" s="41"/>
      <c r="AJ756" s="41"/>
      <c r="AM756" s="44"/>
    </row>
    <row r="757">
      <c r="B757" s="39"/>
      <c r="C757" s="40"/>
      <c r="E757" s="40"/>
      <c r="F757" s="40"/>
      <c r="G757" s="40"/>
      <c r="H757" s="40"/>
      <c r="I757" s="41"/>
      <c r="K757" s="42"/>
      <c r="L757" s="42"/>
      <c r="M757" s="41"/>
      <c r="N757" s="43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  <c r="AD757" s="41"/>
      <c r="AE757" s="41"/>
      <c r="AF757" s="41"/>
      <c r="AG757" s="41"/>
      <c r="AH757" s="41"/>
      <c r="AJ757" s="41"/>
      <c r="AM757" s="44"/>
    </row>
    <row r="758">
      <c r="B758" s="39"/>
      <c r="C758" s="40"/>
      <c r="E758" s="40"/>
      <c r="F758" s="40"/>
      <c r="G758" s="40"/>
      <c r="H758" s="40"/>
      <c r="I758" s="41"/>
      <c r="K758" s="42"/>
      <c r="L758" s="42"/>
      <c r="M758" s="41"/>
      <c r="N758" s="43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  <c r="AD758" s="41"/>
      <c r="AE758" s="41"/>
      <c r="AF758" s="41"/>
      <c r="AG758" s="41"/>
      <c r="AH758" s="41"/>
      <c r="AJ758" s="41"/>
      <c r="AM758" s="44"/>
    </row>
    <row r="759">
      <c r="B759" s="39"/>
      <c r="C759" s="40"/>
      <c r="E759" s="40"/>
      <c r="F759" s="40"/>
      <c r="G759" s="40"/>
      <c r="H759" s="40"/>
      <c r="I759" s="41"/>
      <c r="K759" s="42"/>
      <c r="L759" s="42"/>
      <c r="M759" s="41"/>
      <c r="N759" s="43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  <c r="AD759" s="41"/>
      <c r="AE759" s="41"/>
      <c r="AF759" s="41"/>
      <c r="AG759" s="41"/>
      <c r="AH759" s="41"/>
      <c r="AJ759" s="41"/>
      <c r="AM759" s="44"/>
    </row>
    <row r="760">
      <c r="B760" s="39"/>
      <c r="C760" s="40"/>
      <c r="E760" s="40"/>
      <c r="F760" s="40"/>
      <c r="G760" s="40"/>
      <c r="H760" s="40"/>
      <c r="I760" s="41"/>
      <c r="K760" s="42"/>
      <c r="L760" s="42"/>
      <c r="M760" s="41"/>
      <c r="N760" s="43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  <c r="AE760" s="41"/>
      <c r="AF760" s="41"/>
      <c r="AG760" s="41"/>
      <c r="AH760" s="41"/>
      <c r="AJ760" s="41"/>
      <c r="AM760" s="44"/>
    </row>
    <row r="761">
      <c r="B761" s="39"/>
      <c r="C761" s="40"/>
      <c r="E761" s="40"/>
      <c r="F761" s="40"/>
      <c r="G761" s="40"/>
      <c r="H761" s="40"/>
      <c r="I761" s="41"/>
      <c r="K761" s="42"/>
      <c r="L761" s="42"/>
      <c r="M761" s="41"/>
      <c r="N761" s="43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  <c r="AE761" s="41"/>
      <c r="AF761" s="41"/>
      <c r="AG761" s="41"/>
      <c r="AH761" s="41"/>
      <c r="AJ761" s="41"/>
      <c r="AM761" s="44"/>
    </row>
    <row r="762">
      <c r="B762" s="39"/>
      <c r="C762" s="40"/>
      <c r="E762" s="40"/>
      <c r="F762" s="40"/>
      <c r="G762" s="40"/>
      <c r="H762" s="40"/>
      <c r="I762" s="41"/>
      <c r="K762" s="42"/>
      <c r="L762" s="42"/>
      <c r="M762" s="41"/>
      <c r="N762" s="43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  <c r="AD762" s="41"/>
      <c r="AE762" s="41"/>
      <c r="AF762" s="41"/>
      <c r="AG762" s="41"/>
      <c r="AH762" s="41"/>
      <c r="AJ762" s="41"/>
      <c r="AM762" s="44"/>
    </row>
    <row r="763">
      <c r="B763" s="39"/>
      <c r="C763" s="40"/>
      <c r="E763" s="40"/>
      <c r="F763" s="40"/>
      <c r="G763" s="40"/>
      <c r="H763" s="40"/>
      <c r="I763" s="41"/>
      <c r="K763" s="42"/>
      <c r="L763" s="42"/>
      <c r="M763" s="41"/>
      <c r="N763" s="43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  <c r="AD763" s="41"/>
      <c r="AE763" s="41"/>
      <c r="AF763" s="41"/>
      <c r="AG763" s="41"/>
      <c r="AH763" s="41"/>
      <c r="AJ763" s="41"/>
      <c r="AM763" s="44"/>
    </row>
    <row r="764">
      <c r="B764" s="39"/>
      <c r="C764" s="40"/>
      <c r="E764" s="40"/>
      <c r="F764" s="40"/>
      <c r="G764" s="40"/>
      <c r="H764" s="40"/>
      <c r="I764" s="41"/>
      <c r="K764" s="42"/>
      <c r="L764" s="42"/>
      <c r="M764" s="41"/>
      <c r="N764" s="43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  <c r="AD764" s="41"/>
      <c r="AE764" s="41"/>
      <c r="AF764" s="41"/>
      <c r="AG764" s="41"/>
      <c r="AH764" s="41"/>
      <c r="AJ764" s="41"/>
      <c r="AM764" s="44"/>
    </row>
    <row r="765">
      <c r="B765" s="39"/>
      <c r="C765" s="40"/>
      <c r="E765" s="40"/>
      <c r="F765" s="40"/>
      <c r="G765" s="40"/>
      <c r="H765" s="40"/>
      <c r="I765" s="41"/>
      <c r="K765" s="42"/>
      <c r="L765" s="42"/>
      <c r="M765" s="41"/>
      <c r="N765" s="43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  <c r="AD765" s="41"/>
      <c r="AE765" s="41"/>
      <c r="AF765" s="41"/>
      <c r="AG765" s="41"/>
      <c r="AH765" s="41"/>
      <c r="AJ765" s="41"/>
      <c r="AM765" s="44"/>
    </row>
    <row r="766">
      <c r="B766" s="39"/>
      <c r="C766" s="40"/>
      <c r="E766" s="40"/>
      <c r="F766" s="40"/>
      <c r="G766" s="40"/>
      <c r="H766" s="40"/>
      <c r="I766" s="41"/>
      <c r="K766" s="42"/>
      <c r="L766" s="42"/>
      <c r="M766" s="41"/>
      <c r="N766" s="43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  <c r="AD766" s="41"/>
      <c r="AE766" s="41"/>
      <c r="AF766" s="41"/>
      <c r="AG766" s="41"/>
      <c r="AH766" s="41"/>
      <c r="AJ766" s="41"/>
      <c r="AM766" s="44"/>
    </row>
    <row r="767">
      <c r="B767" s="39"/>
      <c r="C767" s="40"/>
      <c r="E767" s="40"/>
      <c r="F767" s="40"/>
      <c r="G767" s="40"/>
      <c r="H767" s="40"/>
      <c r="I767" s="41"/>
      <c r="K767" s="42"/>
      <c r="L767" s="42"/>
      <c r="M767" s="41"/>
      <c r="N767" s="43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  <c r="AD767" s="41"/>
      <c r="AE767" s="41"/>
      <c r="AF767" s="41"/>
      <c r="AG767" s="41"/>
      <c r="AH767" s="41"/>
      <c r="AJ767" s="41"/>
      <c r="AM767" s="44"/>
    </row>
    <row r="768">
      <c r="B768" s="39"/>
      <c r="C768" s="40"/>
      <c r="E768" s="40"/>
      <c r="F768" s="40"/>
      <c r="G768" s="40"/>
      <c r="H768" s="40"/>
      <c r="I768" s="41"/>
      <c r="K768" s="42"/>
      <c r="L768" s="42"/>
      <c r="M768" s="41"/>
      <c r="N768" s="43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  <c r="AD768" s="41"/>
      <c r="AE768" s="41"/>
      <c r="AF768" s="41"/>
      <c r="AG768" s="41"/>
      <c r="AH768" s="41"/>
      <c r="AJ768" s="41"/>
      <c r="AM768" s="44"/>
    </row>
    <row r="769">
      <c r="B769" s="39"/>
      <c r="C769" s="40"/>
      <c r="E769" s="40"/>
      <c r="F769" s="40"/>
      <c r="G769" s="40"/>
      <c r="H769" s="40"/>
      <c r="I769" s="41"/>
      <c r="K769" s="42"/>
      <c r="L769" s="42"/>
      <c r="M769" s="41"/>
      <c r="N769" s="43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  <c r="AD769" s="41"/>
      <c r="AE769" s="41"/>
      <c r="AF769" s="41"/>
      <c r="AG769" s="41"/>
      <c r="AH769" s="41"/>
      <c r="AJ769" s="41"/>
      <c r="AM769" s="44"/>
    </row>
    <row r="770">
      <c r="B770" s="39"/>
      <c r="C770" s="40"/>
      <c r="E770" s="40"/>
      <c r="F770" s="40"/>
      <c r="G770" s="40"/>
      <c r="H770" s="40"/>
      <c r="I770" s="41"/>
      <c r="K770" s="42"/>
      <c r="L770" s="42"/>
      <c r="M770" s="41"/>
      <c r="N770" s="43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  <c r="AE770" s="41"/>
      <c r="AF770" s="41"/>
      <c r="AG770" s="41"/>
      <c r="AH770" s="41"/>
      <c r="AJ770" s="41"/>
      <c r="AM770" s="44"/>
    </row>
    <row r="771">
      <c r="B771" s="39"/>
      <c r="C771" s="40"/>
      <c r="E771" s="40"/>
      <c r="F771" s="40"/>
      <c r="G771" s="40"/>
      <c r="H771" s="40"/>
      <c r="I771" s="41"/>
      <c r="K771" s="42"/>
      <c r="L771" s="42"/>
      <c r="M771" s="41"/>
      <c r="N771" s="43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  <c r="AD771" s="41"/>
      <c r="AE771" s="41"/>
      <c r="AF771" s="41"/>
      <c r="AG771" s="41"/>
      <c r="AH771" s="41"/>
      <c r="AJ771" s="41"/>
      <c r="AM771" s="44"/>
    </row>
    <row r="772">
      <c r="B772" s="39"/>
      <c r="C772" s="40"/>
      <c r="E772" s="40"/>
      <c r="F772" s="40"/>
      <c r="G772" s="40"/>
      <c r="H772" s="40"/>
      <c r="I772" s="41"/>
      <c r="K772" s="42"/>
      <c r="L772" s="42"/>
      <c r="M772" s="41"/>
      <c r="N772" s="43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  <c r="AE772" s="41"/>
      <c r="AF772" s="41"/>
      <c r="AG772" s="41"/>
      <c r="AH772" s="41"/>
      <c r="AJ772" s="41"/>
      <c r="AM772" s="44"/>
    </row>
    <row r="773">
      <c r="B773" s="39"/>
      <c r="C773" s="40"/>
      <c r="E773" s="40"/>
      <c r="F773" s="40"/>
      <c r="G773" s="40"/>
      <c r="H773" s="40"/>
      <c r="I773" s="41"/>
      <c r="K773" s="42"/>
      <c r="L773" s="42"/>
      <c r="M773" s="41"/>
      <c r="N773" s="43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  <c r="AD773" s="41"/>
      <c r="AE773" s="41"/>
      <c r="AF773" s="41"/>
      <c r="AG773" s="41"/>
      <c r="AH773" s="41"/>
      <c r="AJ773" s="41"/>
      <c r="AM773" s="44"/>
    </row>
    <row r="774">
      <c r="B774" s="39"/>
      <c r="C774" s="40"/>
      <c r="E774" s="40"/>
      <c r="F774" s="40"/>
      <c r="G774" s="40"/>
      <c r="H774" s="40"/>
      <c r="I774" s="41"/>
      <c r="K774" s="42"/>
      <c r="L774" s="42"/>
      <c r="M774" s="41"/>
      <c r="N774" s="43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  <c r="AD774" s="41"/>
      <c r="AE774" s="41"/>
      <c r="AF774" s="41"/>
      <c r="AG774" s="41"/>
      <c r="AH774" s="41"/>
      <c r="AJ774" s="41"/>
      <c r="AM774" s="44"/>
    </row>
    <row r="775">
      <c r="B775" s="39"/>
      <c r="C775" s="40"/>
      <c r="E775" s="40"/>
      <c r="F775" s="40"/>
      <c r="G775" s="40"/>
      <c r="H775" s="40"/>
      <c r="I775" s="41"/>
      <c r="K775" s="42"/>
      <c r="L775" s="42"/>
      <c r="M775" s="41"/>
      <c r="N775" s="43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  <c r="AD775" s="41"/>
      <c r="AE775" s="41"/>
      <c r="AF775" s="41"/>
      <c r="AG775" s="41"/>
      <c r="AH775" s="41"/>
      <c r="AJ775" s="41"/>
      <c r="AM775" s="44"/>
    </row>
    <row r="776">
      <c r="B776" s="39"/>
      <c r="C776" s="40"/>
      <c r="E776" s="40"/>
      <c r="F776" s="40"/>
      <c r="G776" s="40"/>
      <c r="H776" s="40"/>
      <c r="I776" s="41"/>
      <c r="K776" s="42"/>
      <c r="L776" s="42"/>
      <c r="M776" s="41"/>
      <c r="N776" s="43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  <c r="AD776" s="41"/>
      <c r="AE776" s="41"/>
      <c r="AF776" s="41"/>
      <c r="AG776" s="41"/>
      <c r="AH776" s="41"/>
      <c r="AJ776" s="41"/>
      <c r="AM776" s="44"/>
    </row>
    <row r="777">
      <c r="B777" s="39"/>
      <c r="C777" s="40"/>
      <c r="E777" s="40"/>
      <c r="F777" s="40"/>
      <c r="G777" s="40"/>
      <c r="H777" s="40"/>
      <c r="I777" s="41"/>
      <c r="K777" s="42"/>
      <c r="L777" s="42"/>
      <c r="M777" s="41"/>
      <c r="N777" s="43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  <c r="AD777" s="41"/>
      <c r="AE777" s="41"/>
      <c r="AF777" s="41"/>
      <c r="AG777" s="41"/>
      <c r="AH777" s="41"/>
      <c r="AJ777" s="41"/>
      <c r="AM777" s="44"/>
    </row>
    <row r="778">
      <c r="B778" s="39"/>
      <c r="C778" s="40"/>
      <c r="E778" s="40"/>
      <c r="F778" s="40"/>
      <c r="G778" s="40"/>
      <c r="H778" s="40"/>
      <c r="I778" s="41"/>
      <c r="K778" s="42"/>
      <c r="L778" s="42"/>
      <c r="M778" s="41"/>
      <c r="N778" s="43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  <c r="AD778" s="41"/>
      <c r="AE778" s="41"/>
      <c r="AF778" s="41"/>
      <c r="AG778" s="41"/>
      <c r="AH778" s="41"/>
      <c r="AJ778" s="41"/>
      <c r="AM778" s="44"/>
    </row>
    <row r="779">
      <c r="B779" s="39"/>
      <c r="C779" s="40"/>
      <c r="E779" s="40"/>
      <c r="F779" s="40"/>
      <c r="G779" s="40"/>
      <c r="H779" s="40"/>
      <c r="I779" s="41"/>
      <c r="K779" s="42"/>
      <c r="L779" s="42"/>
      <c r="M779" s="41"/>
      <c r="N779" s="43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  <c r="AE779" s="41"/>
      <c r="AF779" s="41"/>
      <c r="AG779" s="41"/>
      <c r="AH779" s="41"/>
      <c r="AJ779" s="41"/>
      <c r="AM779" s="44"/>
    </row>
    <row r="780">
      <c r="B780" s="39"/>
      <c r="C780" s="40"/>
      <c r="E780" s="40"/>
      <c r="F780" s="40"/>
      <c r="G780" s="40"/>
      <c r="H780" s="40"/>
      <c r="I780" s="41"/>
      <c r="K780" s="42"/>
      <c r="L780" s="42"/>
      <c r="M780" s="41"/>
      <c r="N780" s="43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  <c r="AE780" s="41"/>
      <c r="AF780" s="41"/>
      <c r="AG780" s="41"/>
      <c r="AH780" s="41"/>
      <c r="AJ780" s="41"/>
      <c r="AM780" s="44"/>
    </row>
    <row r="781">
      <c r="B781" s="39"/>
      <c r="C781" s="40"/>
      <c r="E781" s="40"/>
      <c r="F781" s="40"/>
      <c r="G781" s="40"/>
      <c r="H781" s="40"/>
      <c r="I781" s="41"/>
      <c r="K781" s="42"/>
      <c r="L781" s="42"/>
      <c r="M781" s="41"/>
      <c r="N781" s="43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  <c r="AE781" s="41"/>
      <c r="AF781" s="41"/>
      <c r="AG781" s="41"/>
      <c r="AH781" s="41"/>
      <c r="AJ781" s="41"/>
      <c r="AM781" s="44"/>
    </row>
    <row r="782">
      <c r="B782" s="39"/>
      <c r="C782" s="40"/>
      <c r="E782" s="40"/>
      <c r="F782" s="40"/>
      <c r="G782" s="40"/>
      <c r="H782" s="40"/>
      <c r="I782" s="41"/>
      <c r="K782" s="42"/>
      <c r="L782" s="42"/>
      <c r="M782" s="41"/>
      <c r="N782" s="43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  <c r="AD782" s="41"/>
      <c r="AE782" s="41"/>
      <c r="AF782" s="41"/>
      <c r="AG782" s="41"/>
      <c r="AH782" s="41"/>
      <c r="AJ782" s="41"/>
      <c r="AM782" s="44"/>
    </row>
    <row r="783">
      <c r="B783" s="39"/>
      <c r="C783" s="40"/>
      <c r="E783" s="40"/>
      <c r="F783" s="40"/>
      <c r="G783" s="40"/>
      <c r="H783" s="40"/>
      <c r="I783" s="41"/>
      <c r="K783" s="42"/>
      <c r="L783" s="42"/>
      <c r="M783" s="41"/>
      <c r="N783" s="43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  <c r="AD783" s="41"/>
      <c r="AE783" s="41"/>
      <c r="AF783" s="41"/>
      <c r="AG783" s="41"/>
      <c r="AH783" s="41"/>
      <c r="AJ783" s="41"/>
      <c r="AM783" s="44"/>
    </row>
    <row r="784">
      <c r="B784" s="39"/>
      <c r="C784" s="40"/>
      <c r="E784" s="40"/>
      <c r="F784" s="40"/>
      <c r="G784" s="40"/>
      <c r="H784" s="40"/>
      <c r="I784" s="41"/>
      <c r="K784" s="42"/>
      <c r="L784" s="42"/>
      <c r="M784" s="41"/>
      <c r="N784" s="43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  <c r="AE784" s="41"/>
      <c r="AF784" s="41"/>
      <c r="AG784" s="41"/>
      <c r="AH784" s="41"/>
      <c r="AJ784" s="41"/>
      <c r="AM784" s="44"/>
    </row>
    <row r="785">
      <c r="B785" s="39"/>
      <c r="C785" s="40"/>
      <c r="E785" s="40"/>
      <c r="F785" s="40"/>
      <c r="G785" s="40"/>
      <c r="H785" s="40"/>
      <c r="I785" s="41"/>
      <c r="K785" s="42"/>
      <c r="L785" s="42"/>
      <c r="M785" s="41"/>
      <c r="N785" s="43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  <c r="AE785" s="41"/>
      <c r="AF785" s="41"/>
      <c r="AG785" s="41"/>
      <c r="AH785" s="41"/>
      <c r="AJ785" s="41"/>
      <c r="AM785" s="44"/>
    </row>
    <row r="786">
      <c r="B786" s="39"/>
      <c r="C786" s="40"/>
      <c r="E786" s="40"/>
      <c r="F786" s="40"/>
      <c r="G786" s="40"/>
      <c r="H786" s="40"/>
      <c r="I786" s="41"/>
      <c r="K786" s="42"/>
      <c r="L786" s="42"/>
      <c r="M786" s="41"/>
      <c r="N786" s="43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  <c r="AD786" s="41"/>
      <c r="AE786" s="41"/>
      <c r="AF786" s="41"/>
      <c r="AG786" s="41"/>
      <c r="AH786" s="41"/>
      <c r="AJ786" s="41"/>
      <c r="AM786" s="44"/>
    </row>
    <row r="787">
      <c r="B787" s="39"/>
      <c r="C787" s="40"/>
      <c r="E787" s="40"/>
      <c r="F787" s="40"/>
      <c r="G787" s="40"/>
      <c r="H787" s="40"/>
      <c r="I787" s="41"/>
      <c r="K787" s="42"/>
      <c r="L787" s="42"/>
      <c r="M787" s="41"/>
      <c r="N787" s="43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  <c r="AD787" s="41"/>
      <c r="AE787" s="41"/>
      <c r="AF787" s="41"/>
      <c r="AG787" s="41"/>
      <c r="AH787" s="41"/>
      <c r="AJ787" s="41"/>
      <c r="AM787" s="44"/>
    </row>
    <row r="788">
      <c r="B788" s="39"/>
      <c r="C788" s="40"/>
      <c r="E788" s="40"/>
      <c r="F788" s="40"/>
      <c r="G788" s="40"/>
      <c r="H788" s="40"/>
      <c r="I788" s="41"/>
      <c r="K788" s="42"/>
      <c r="L788" s="42"/>
      <c r="M788" s="41"/>
      <c r="N788" s="43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  <c r="AE788" s="41"/>
      <c r="AF788" s="41"/>
      <c r="AG788" s="41"/>
      <c r="AH788" s="41"/>
      <c r="AJ788" s="41"/>
      <c r="AM788" s="44"/>
    </row>
    <row r="789">
      <c r="B789" s="39"/>
      <c r="C789" s="40"/>
      <c r="E789" s="40"/>
      <c r="F789" s="40"/>
      <c r="G789" s="40"/>
      <c r="H789" s="40"/>
      <c r="I789" s="41"/>
      <c r="K789" s="42"/>
      <c r="L789" s="42"/>
      <c r="M789" s="41"/>
      <c r="N789" s="43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  <c r="AD789" s="41"/>
      <c r="AE789" s="41"/>
      <c r="AF789" s="41"/>
      <c r="AG789" s="41"/>
      <c r="AH789" s="41"/>
      <c r="AJ789" s="41"/>
      <c r="AM789" s="44"/>
    </row>
    <row r="790">
      <c r="B790" s="39"/>
      <c r="C790" s="40"/>
      <c r="E790" s="40"/>
      <c r="F790" s="40"/>
      <c r="G790" s="40"/>
      <c r="H790" s="40"/>
      <c r="I790" s="41"/>
      <c r="K790" s="42"/>
      <c r="L790" s="42"/>
      <c r="M790" s="41"/>
      <c r="N790" s="43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  <c r="AE790" s="41"/>
      <c r="AF790" s="41"/>
      <c r="AG790" s="41"/>
      <c r="AH790" s="41"/>
      <c r="AJ790" s="41"/>
      <c r="AM790" s="44"/>
    </row>
    <row r="791">
      <c r="B791" s="39"/>
      <c r="C791" s="40"/>
      <c r="E791" s="40"/>
      <c r="F791" s="40"/>
      <c r="G791" s="40"/>
      <c r="H791" s="40"/>
      <c r="I791" s="41"/>
      <c r="K791" s="42"/>
      <c r="L791" s="42"/>
      <c r="M791" s="41"/>
      <c r="N791" s="43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  <c r="AD791" s="41"/>
      <c r="AE791" s="41"/>
      <c r="AF791" s="41"/>
      <c r="AG791" s="41"/>
      <c r="AH791" s="41"/>
      <c r="AJ791" s="41"/>
      <c r="AM791" s="44"/>
    </row>
    <row r="792">
      <c r="B792" s="39"/>
      <c r="C792" s="40"/>
      <c r="E792" s="40"/>
      <c r="F792" s="40"/>
      <c r="G792" s="40"/>
      <c r="H792" s="40"/>
      <c r="I792" s="41"/>
      <c r="K792" s="42"/>
      <c r="L792" s="42"/>
      <c r="M792" s="41"/>
      <c r="N792" s="43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  <c r="AD792" s="41"/>
      <c r="AE792" s="41"/>
      <c r="AF792" s="41"/>
      <c r="AG792" s="41"/>
      <c r="AH792" s="41"/>
      <c r="AJ792" s="41"/>
      <c r="AM792" s="44"/>
    </row>
    <row r="793">
      <c r="B793" s="39"/>
      <c r="C793" s="40"/>
      <c r="E793" s="40"/>
      <c r="F793" s="40"/>
      <c r="G793" s="40"/>
      <c r="H793" s="40"/>
      <c r="I793" s="41"/>
      <c r="K793" s="42"/>
      <c r="L793" s="42"/>
      <c r="M793" s="41"/>
      <c r="N793" s="43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  <c r="AD793" s="41"/>
      <c r="AE793" s="41"/>
      <c r="AF793" s="41"/>
      <c r="AG793" s="41"/>
      <c r="AH793" s="41"/>
      <c r="AJ793" s="41"/>
      <c r="AM793" s="44"/>
    </row>
    <row r="794">
      <c r="B794" s="39"/>
      <c r="C794" s="40"/>
      <c r="E794" s="40"/>
      <c r="F794" s="40"/>
      <c r="G794" s="40"/>
      <c r="H794" s="40"/>
      <c r="I794" s="41"/>
      <c r="K794" s="42"/>
      <c r="L794" s="42"/>
      <c r="M794" s="41"/>
      <c r="N794" s="43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  <c r="AD794" s="41"/>
      <c r="AE794" s="41"/>
      <c r="AF794" s="41"/>
      <c r="AG794" s="41"/>
      <c r="AH794" s="41"/>
      <c r="AJ794" s="41"/>
      <c r="AM794" s="44"/>
    </row>
    <row r="795">
      <c r="B795" s="39"/>
      <c r="C795" s="40"/>
      <c r="E795" s="40"/>
      <c r="F795" s="40"/>
      <c r="G795" s="40"/>
      <c r="H795" s="40"/>
      <c r="I795" s="41"/>
      <c r="K795" s="42"/>
      <c r="L795" s="42"/>
      <c r="M795" s="41"/>
      <c r="N795" s="43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  <c r="AD795" s="41"/>
      <c r="AE795" s="41"/>
      <c r="AF795" s="41"/>
      <c r="AG795" s="41"/>
      <c r="AH795" s="41"/>
      <c r="AJ795" s="41"/>
      <c r="AM795" s="44"/>
    </row>
    <row r="796">
      <c r="B796" s="39"/>
      <c r="C796" s="40"/>
      <c r="E796" s="40"/>
      <c r="F796" s="40"/>
      <c r="G796" s="40"/>
      <c r="H796" s="40"/>
      <c r="I796" s="41"/>
      <c r="K796" s="42"/>
      <c r="L796" s="42"/>
      <c r="M796" s="41"/>
      <c r="N796" s="43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  <c r="AD796" s="41"/>
      <c r="AE796" s="41"/>
      <c r="AF796" s="41"/>
      <c r="AG796" s="41"/>
      <c r="AH796" s="41"/>
      <c r="AJ796" s="41"/>
      <c r="AM796" s="44"/>
    </row>
    <row r="797">
      <c r="B797" s="39"/>
      <c r="C797" s="40"/>
      <c r="E797" s="40"/>
      <c r="F797" s="40"/>
      <c r="G797" s="40"/>
      <c r="H797" s="40"/>
      <c r="I797" s="41"/>
      <c r="K797" s="42"/>
      <c r="L797" s="42"/>
      <c r="M797" s="41"/>
      <c r="N797" s="43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  <c r="AE797" s="41"/>
      <c r="AF797" s="41"/>
      <c r="AG797" s="41"/>
      <c r="AH797" s="41"/>
      <c r="AJ797" s="41"/>
      <c r="AM797" s="44"/>
    </row>
    <row r="798">
      <c r="B798" s="39"/>
      <c r="C798" s="40"/>
      <c r="E798" s="40"/>
      <c r="F798" s="40"/>
      <c r="G798" s="40"/>
      <c r="H798" s="40"/>
      <c r="I798" s="41"/>
      <c r="K798" s="42"/>
      <c r="L798" s="42"/>
      <c r="M798" s="41"/>
      <c r="N798" s="43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41"/>
      <c r="AE798" s="41"/>
      <c r="AF798" s="41"/>
      <c r="AG798" s="41"/>
      <c r="AH798" s="41"/>
      <c r="AJ798" s="41"/>
      <c r="AM798" s="44"/>
    </row>
    <row r="799">
      <c r="B799" s="39"/>
      <c r="C799" s="40"/>
      <c r="E799" s="40"/>
      <c r="F799" s="40"/>
      <c r="G799" s="40"/>
      <c r="H799" s="40"/>
      <c r="I799" s="41"/>
      <c r="K799" s="42"/>
      <c r="L799" s="42"/>
      <c r="M799" s="41"/>
      <c r="N799" s="43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  <c r="AD799" s="41"/>
      <c r="AE799" s="41"/>
      <c r="AF799" s="41"/>
      <c r="AG799" s="41"/>
      <c r="AH799" s="41"/>
      <c r="AJ799" s="41"/>
      <c r="AM799" s="44"/>
    </row>
    <row r="800">
      <c r="B800" s="39"/>
      <c r="C800" s="40"/>
      <c r="E800" s="40"/>
      <c r="F800" s="40"/>
      <c r="G800" s="40"/>
      <c r="H800" s="40"/>
      <c r="I800" s="41"/>
      <c r="K800" s="42"/>
      <c r="L800" s="42"/>
      <c r="M800" s="41"/>
      <c r="N800" s="43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  <c r="AD800" s="41"/>
      <c r="AE800" s="41"/>
      <c r="AF800" s="41"/>
      <c r="AG800" s="41"/>
      <c r="AH800" s="41"/>
      <c r="AJ800" s="41"/>
      <c r="AM800" s="44"/>
    </row>
    <row r="801">
      <c r="B801" s="39"/>
      <c r="C801" s="40"/>
      <c r="E801" s="40"/>
      <c r="F801" s="40"/>
      <c r="G801" s="40"/>
      <c r="H801" s="40"/>
      <c r="I801" s="41"/>
      <c r="K801" s="42"/>
      <c r="L801" s="42"/>
      <c r="M801" s="41"/>
      <c r="N801" s="43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  <c r="AD801" s="41"/>
      <c r="AE801" s="41"/>
      <c r="AF801" s="41"/>
      <c r="AG801" s="41"/>
      <c r="AH801" s="41"/>
      <c r="AJ801" s="41"/>
      <c r="AM801" s="44"/>
    </row>
    <row r="802">
      <c r="B802" s="39"/>
      <c r="C802" s="40"/>
      <c r="E802" s="40"/>
      <c r="F802" s="40"/>
      <c r="G802" s="40"/>
      <c r="H802" s="40"/>
      <c r="I802" s="41"/>
      <c r="K802" s="42"/>
      <c r="L802" s="42"/>
      <c r="M802" s="41"/>
      <c r="N802" s="43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  <c r="AD802" s="41"/>
      <c r="AE802" s="41"/>
      <c r="AF802" s="41"/>
      <c r="AG802" s="41"/>
      <c r="AH802" s="41"/>
      <c r="AJ802" s="41"/>
      <c r="AM802" s="44"/>
    </row>
    <row r="803">
      <c r="B803" s="39"/>
      <c r="C803" s="40"/>
      <c r="E803" s="40"/>
      <c r="F803" s="40"/>
      <c r="G803" s="40"/>
      <c r="H803" s="40"/>
      <c r="I803" s="41"/>
      <c r="K803" s="42"/>
      <c r="L803" s="42"/>
      <c r="M803" s="41"/>
      <c r="N803" s="43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  <c r="AD803" s="41"/>
      <c r="AE803" s="41"/>
      <c r="AF803" s="41"/>
      <c r="AG803" s="41"/>
      <c r="AH803" s="41"/>
      <c r="AJ803" s="41"/>
      <c r="AM803" s="44"/>
    </row>
    <row r="804">
      <c r="B804" s="39"/>
      <c r="C804" s="40"/>
      <c r="E804" s="40"/>
      <c r="F804" s="40"/>
      <c r="G804" s="40"/>
      <c r="H804" s="40"/>
      <c r="I804" s="41"/>
      <c r="K804" s="42"/>
      <c r="L804" s="42"/>
      <c r="M804" s="41"/>
      <c r="N804" s="43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  <c r="AD804" s="41"/>
      <c r="AE804" s="41"/>
      <c r="AF804" s="41"/>
      <c r="AG804" s="41"/>
      <c r="AH804" s="41"/>
      <c r="AJ804" s="41"/>
      <c r="AM804" s="44"/>
    </row>
    <row r="805">
      <c r="B805" s="39"/>
      <c r="C805" s="40"/>
      <c r="E805" s="40"/>
      <c r="F805" s="40"/>
      <c r="G805" s="40"/>
      <c r="H805" s="40"/>
      <c r="I805" s="41"/>
      <c r="K805" s="42"/>
      <c r="L805" s="42"/>
      <c r="M805" s="41"/>
      <c r="N805" s="43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  <c r="AD805" s="41"/>
      <c r="AE805" s="41"/>
      <c r="AF805" s="41"/>
      <c r="AG805" s="41"/>
      <c r="AH805" s="41"/>
      <c r="AJ805" s="41"/>
      <c r="AM805" s="44"/>
    </row>
    <row r="806">
      <c r="B806" s="39"/>
      <c r="C806" s="40"/>
      <c r="E806" s="40"/>
      <c r="F806" s="40"/>
      <c r="G806" s="40"/>
      <c r="H806" s="40"/>
      <c r="I806" s="41"/>
      <c r="K806" s="42"/>
      <c r="L806" s="42"/>
      <c r="M806" s="41"/>
      <c r="N806" s="43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41"/>
      <c r="AE806" s="41"/>
      <c r="AF806" s="41"/>
      <c r="AG806" s="41"/>
      <c r="AH806" s="41"/>
      <c r="AJ806" s="41"/>
      <c r="AM806" s="44"/>
    </row>
    <row r="807">
      <c r="B807" s="39"/>
      <c r="C807" s="40"/>
      <c r="E807" s="40"/>
      <c r="F807" s="40"/>
      <c r="G807" s="40"/>
      <c r="H807" s="40"/>
      <c r="I807" s="41"/>
      <c r="K807" s="42"/>
      <c r="L807" s="42"/>
      <c r="M807" s="41"/>
      <c r="N807" s="43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  <c r="AD807" s="41"/>
      <c r="AE807" s="41"/>
      <c r="AF807" s="41"/>
      <c r="AG807" s="41"/>
      <c r="AH807" s="41"/>
      <c r="AJ807" s="41"/>
      <c r="AM807" s="44"/>
    </row>
    <row r="808">
      <c r="B808" s="39"/>
      <c r="C808" s="40"/>
      <c r="E808" s="40"/>
      <c r="F808" s="40"/>
      <c r="G808" s="40"/>
      <c r="H808" s="40"/>
      <c r="I808" s="41"/>
      <c r="K808" s="42"/>
      <c r="L808" s="42"/>
      <c r="M808" s="41"/>
      <c r="N808" s="43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  <c r="AE808" s="41"/>
      <c r="AF808" s="41"/>
      <c r="AG808" s="41"/>
      <c r="AH808" s="41"/>
      <c r="AJ808" s="41"/>
      <c r="AM808" s="44"/>
    </row>
    <row r="809">
      <c r="B809" s="39"/>
      <c r="C809" s="40"/>
      <c r="E809" s="40"/>
      <c r="F809" s="40"/>
      <c r="G809" s="40"/>
      <c r="H809" s="40"/>
      <c r="I809" s="41"/>
      <c r="K809" s="42"/>
      <c r="L809" s="42"/>
      <c r="M809" s="41"/>
      <c r="N809" s="43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  <c r="AD809" s="41"/>
      <c r="AE809" s="41"/>
      <c r="AF809" s="41"/>
      <c r="AG809" s="41"/>
      <c r="AH809" s="41"/>
      <c r="AJ809" s="41"/>
      <c r="AM809" s="44"/>
    </row>
    <row r="810">
      <c r="B810" s="39"/>
      <c r="C810" s="40"/>
      <c r="E810" s="40"/>
      <c r="F810" s="40"/>
      <c r="G810" s="40"/>
      <c r="H810" s="40"/>
      <c r="I810" s="41"/>
      <c r="K810" s="42"/>
      <c r="L810" s="42"/>
      <c r="M810" s="41"/>
      <c r="N810" s="43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  <c r="AD810" s="41"/>
      <c r="AE810" s="41"/>
      <c r="AF810" s="41"/>
      <c r="AG810" s="41"/>
      <c r="AH810" s="41"/>
      <c r="AJ810" s="41"/>
      <c r="AM810" s="44"/>
    </row>
    <row r="811">
      <c r="B811" s="39"/>
      <c r="C811" s="40"/>
      <c r="E811" s="40"/>
      <c r="F811" s="40"/>
      <c r="G811" s="40"/>
      <c r="H811" s="40"/>
      <c r="I811" s="41"/>
      <c r="K811" s="42"/>
      <c r="L811" s="42"/>
      <c r="M811" s="41"/>
      <c r="N811" s="43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  <c r="AD811" s="41"/>
      <c r="AE811" s="41"/>
      <c r="AF811" s="41"/>
      <c r="AG811" s="41"/>
      <c r="AH811" s="41"/>
      <c r="AJ811" s="41"/>
      <c r="AM811" s="44"/>
    </row>
    <row r="812">
      <c r="B812" s="39"/>
      <c r="C812" s="40"/>
      <c r="E812" s="40"/>
      <c r="F812" s="40"/>
      <c r="G812" s="40"/>
      <c r="H812" s="40"/>
      <c r="I812" s="41"/>
      <c r="K812" s="42"/>
      <c r="L812" s="42"/>
      <c r="M812" s="41"/>
      <c r="N812" s="43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  <c r="AD812" s="41"/>
      <c r="AE812" s="41"/>
      <c r="AF812" s="41"/>
      <c r="AG812" s="41"/>
      <c r="AH812" s="41"/>
      <c r="AJ812" s="41"/>
      <c r="AM812" s="44"/>
    </row>
    <row r="813">
      <c r="B813" s="39"/>
      <c r="C813" s="40"/>
      <c r="E813" s="40"/>
      <c r="F813" s="40"/>
      <c r="G813" s="40"/>
      <c r="H813" s="40"/>
      <c r="I813" s="41"/>
      <c r="K813" s="42"/>
      <c r="L813" s="42"/>
      <c r="M813" s="41"/>
      <c r="N813" s="43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  <c r="AD813" s="41"/>
      <c r="AE813" s="41"/>
      <c r="AF813" s="41"/>
      <c r="AG813" s="41"/>
      <c r="AH813" s="41"/>
      <c r="AJ813" s="41"/>
      <c r="AM813" s="44"/>
    </row>
    <row r="814">
      <c r="B814" s="39"/>
      <c r="C814" s="40"/>
      <c r="E814" s="40"/>
      <c r="F814" s="40"/>
      <c r="G814" s="40"/>
      <c r="H814" s="40"/>
      <c r="I814" s="41"/>
      <c r="K814" s="42"/>
      <c r="L814" s="42"/>
      <c r="M814" s="41"/>
      <c r="N814" s="43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  <c r="AD814" s="41"/>
      <c r="AE814" s="41"/>
      <c r="AF814" s="41"/>
      <c r="AG814" s="41"/>
      <c r="AH814" s="41"/>
      <c r="AJ814" s="41"/>
      <c r="AM814" s="44"/>
    </row>
    <row r="815">
      <c r="B815" s="39"/>
      <c r="C815" s="40"/>
      <c r="E815" s="40"/>
      <c r="F815" s="40"/>
      <c r="G815" s="40"/>
      <c r="H815" s="40"/>
      <c r="I815" s="41"/>
      <c r="K815" s="42"/>
      <c r="L815" s="42"/>
      <c r="M815" s="41"/>
      <c r="N815" s="43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  <c r="AD815" s="41"/>
      <c r="AE815" s="41"/>
      <c r="AF815" s="41"/>
      <c r="AG815" s="41"/>
      <c r="AH815" s="41"/>
      <c r="AJ815" s="41"/>
      <c r="AM815" s="44"/>
    </row>
    <row r="816">
      <c r="B816" s="39"/>
      <c r="C816" s="40"/>
      <c r="E816" s="40"/>
      <c r="F816" s="40"/>
      <c r="G816" s="40"/>
      <c r="H816" s="40"/>
      <c r="I816" s="41"/>
      <c r="K816" s="42"/>
      <c r="L816" s="42"/>
      <c r="M816" s="41"/>
      <c r="N816" s="43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  <c r="AD816" s="41"/>
      <c r="AE816" s="41"/>
      <c r="AF816" s="41"/>
      <c r="AG816" s="41"/>
      <c r="AH816" s="41"/>
      <c r="AJ816" s="41"/>
      <c r="AM816" s="44"/>
    </row>
    <row r="817">
      <c r="B817" s="39"/>
      <c r="C817" s="40"/>
      <c r="E817" s="40"/>
      <c r="F817" s="40"/>
      <c r="G817" s="40"/>
      <c r="H817" s="40"/>
      <c r="I817" s="41"/>
      <c r="K817" s="42"/>
      <c r="L817" s="42"/>
      <c r="M817" s="41"/>
      <c r="N817" s="43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  <c r="AD817" s="41"/>
      <c r="AE817" s="41"/>
      <c r="AF817" s="41"/>
      <c r="AG817" s="41"/>
      <c r="AH817" s="41"/>
      <c r="AJ817" s="41"/>
      <c r="AM817" s="44"/>
    </row>
    <row r="818">
      <c r="B818" s="39"/>
      <c r="C818" s="40"/>
      <c r="E818" s="40"/>
      <c r="F818" s="40"/>
      <c r="G818" s="40"/>
      <c r="H818" s="40"/>
      <c r="I818" s="41"/>
      <c r="K818" s="42"/>
      <c r="L818" s="42"/>
      <c r="M818" s="41"/>
      <c r="N818" s="43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  <c r="AD818" s="41"/>
      <c r="AE818" s="41"/>
      <c r="AF818" s="41"/>
      <c r="AG818" s="41"/>
      <c r="AH818" s="41"/>
      <c r="AJ818" s="41"/>
      <c r="AM818" s="44"/>
    </row>
    <row r="819">
      <c r="B819" s="39"/>
      <c r="C819" s="40"/>
      <c r="E819" s="40"/>
      <c r="F819" s="40"/>
      <c r="G819" s="40"/>
      <c r="H819" s="40"/>
      <c r="I819" s="41"/>
      <c r="K819" s="42"/>
      <c r="L819" s="42"/>
      <c r="M819" s="41"/>
      <c r="N819" s="43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  <c r="AD819" s="41"/>
      <c r="AE819" s="41"/>
      <c r="AF819" s="41"/>
      <c r="AG819" s="41"/>
      <c r="AH819" s="41"/>
      <c r="AJ819" s="41"/>
      <c r="AM819" s="44"/>
    </row>
    <row r="820">
      <c r="B820" s="39"/>
      <c r="C820" s="40"/>
      <c r="E820" s="40"/>
      <c r="F820" s="40"/>
      <c r="G820" s="40"/>
      <c r="H820" s="40"/>
      <c r="I820" s="41"/>
      <c r="K820" s="42"/>
      <c r="L820" s="42"/>
      <c r="M820" s="41"/>
      <c r="N820" s="43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  <c r="AD820" s="41"/>
      <c r="AE820" s="41"/>
      <c r="AF820" s="41"/>
      <c r="AG820" s="41"/>
      <c r="AH820" s="41"/>
      <c r="AJ820" s="41"/>
      <c r="AM820" s="44"/>
    </row>
    <row r="821">
      <c r="B821" s="39"/>
      <c r="C821" s="40"/>
      <c r="E821" s="40"/>
      <c r="F821" s="40"/>
      <c r="G821" s="40"/>
      <c r="H821" s="40"/>
      <c r="I821" s="41"/>
      <c r="K821" s="42"/>
      <c r="L821" s="42"/>
      <c r="M821" s="41"/>
      <c r="N821" s="43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  <c r="AD821" s="41"/>
      <c r="AE821" s="41"/>
      <c r="AF821" s="41"/>
      <c r="AG821" s="41"/>
      <c r="AH821" s="41"/>
      <c r="AJ821" s="41"/>
      <c r="AM821" s="44"/>
    </row>
    <row r="822">
      <c r="B822" s="39"/>
      <c r="C822" s="40"/>
      <c r="E822" s="40"/>
      <c r="F822" s="40"/>
      <c r="G822" s="40"/>
      <c r="H822" s="40"/>
      <c r="I822" s="41"/>
      <c r="K822" s="42"/>
      <c r="L822" s="42"/>
      <c r="M822" s="41"/>
      <c r="N822" s="43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  <c r="AD822" s="41"/>
      <c r="AE822" s="41"/>
      <c r="AF822" s="41"/>
      <c r="AG822" s="41"/>
      <c r="AH822" s="41"/>
      <c r="AJ822" s="41"/>
      <c r="AM822" s="44"/>
    </row>
    <row r="823">
      <c r="B823" s="39"/>
      <c r="C823" s="40"/>
      <c r="E823" s="40"/>
      <c r="F823" s="40"/>
      <c r="G823" s="40"/>
      <c r="H823" s="40"/>
      <c r="I823" s="41"/>
      <c r="K823" s="42"/>
      <c r="L823" s="42"/>
      <c r="M823" s="41"/>
      <c r="N823" s="43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  <c r="AD823" s="41"/>
      <c r="AE823" s="41"/>
      <c r="AF823" s="41"/>
      <c r="AG823" s="41"/>
      <c r="AH823" s="41"/>
      <c r="AJ823" s="41"/>
      <c r="AM823" s="44"/>
    </row>
    <row r="824">
      <c r="B824" s="39"/>
      <c r="C824" s="40"/>
      <c r="E824" s="40"/>
      <c r="F824" s="40"/>
      <c r="G824" s="40"/>
      <c r="H824" s="40"/>
      <c r="I824" s="41"/>
      <c r="K824" s="42"/>
      <c r="L824" s="42"/>
      <c r="M824" s="41"/>
      <c r="N824" s="43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  <c r="AD824" s="41"/>
      <c r="AE824" s="41"/>
      <c r="AF824" s="41"/>
      <c r="AG824" s="41"/>
      <c r="AH824" s="41"/>
      <c r="AJ824" s="41"/>
      <c r="AM824" s="44"/>
    </row>
    <row r="825">
      <c r="B825" s="39"/>
      <c r="C825" s="40"/>
      <c r="E825" s="40"/>
      <c r="F825" s="40"/>
      <c r="G825" s="40"/>
      <c r="H825" s="40"/>
      <c r="I825" s="41"/>
      <c r="K825" s="42"/>
      <c r="L825" s="42"/>
      <c r="M825" s="41"/>
      <c r="N825" s="43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  <c r="AD825" s="41"/>
      <c r="AE825" s="41"/>
      <c r="AF825" s="41"/>
      <c r="AG825" s="41"/>
      <c r="AH825" s="41"/>
      <c r="AJ825" s="41"/>
      <c r="AM825" s="44"/>
    </row>
    <row r="826">
      <c r="B826" s="39"/>
      <c r="C826" s="40"/>
      <c r="E826" s="40"/>
      <c r="F826" s="40"/>
      <c r="G826" s="40"/>
      <c r="H826" s="40"/>
      <c r="I826" s="41"/>
      <c r="K826" s="42"/>
      <c r="L826" s="42"/>
      <c r="M826" s="41"/>
      <c r="N826" s="43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41"/>
      <c r="AE826" s="41"/>
      <c r="AF826" s="41"/>
      <c r="AG826" s="41"/>
      <c r="AH826" s="41"/>
      <c r="AJ826" s="41"/>
      <c r="AM826" s="44"/>
    </row>
    <row r="827">
      <c r="B827" s="39"/>
      <c r="C827" s="40"/>
      <c r="E827" s="40"/>
      <c r="F827" s="40"/>
      <c r="G827" s="40"/>
      <c r="H827" s="40"/>
      <c r="I827" s="41"/>
      <c r="K827" s="42"/>
      <c r="L827" s="42"/>
      <c r="M827" s="41"/>
      <c r="N827" s="43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  <c r="AD827" s="41"/>
      <c r="AE827" s="41"/>
      <c r="AF827" s="41"/>
      <c r="AG827" s="41"/>
      <c r="AH827" s="41"/>
      <c r="AJ827" s="41"/>
      <c r="AM827" s="44"/>
    </row>
    <row r="828">
      <c r="B828" s="39"/>
      <c r="C828" s="40"/>
      <c r="E828" s="40"/>
      <c r="F828" s="40"/>
      <c r="G828" s="40"/>
      <c r="H828" s="40"/>
      <c r="I828" s="41"/>
      <c r="K828" s="42"/>
      <c r="L828" s="42"/>
      <c r="M828" s="41"/>
      <c r="N828" s="43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  <c r="AD828" s="41"/>
      <c r="AE828" s="41"/>
      <c r="AF828" s="41"/>
      <c r="AG828" s="41"/>
      <c r="AH828" s="41"/>
      <c r="AJ828" s="41"/>
      <c r="AM828" s="44"/>
    </row>
    <row r="829">
      <c r="B829" s="39"/>
      <c r="C829" s="40"/>
      <c r="E829" s="40"/>
      <c r="F829" s="40"/>
      <c r="G829" s="40"/>
      <c r="H829" s="40"/>
      <c r="I829" s="41"/>
      <c r="K829" s="42"/>
      <c r="L829" s="42"/>
      <c r="M829" s="41"/>
      <c r="N829" s="43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  <c r="AD829" s="41"/>
      <c r="AE829" s="41"/>
      <c r="AF829" s="41"/>
      <c r="AG829" s="41"/>
      <c r="AH829" s="41"/>
      <c r="AJ829" s="41"/>
      <c r="AM829" s="44"/>
    </row>
    <row r="830">
      <c r="B830" s="39"/>
      <c r="C830" s="40"/>
      <c r="E830" s="40"/>
      <c r="F830" s="40"/>
      <c r="G830" s="40"/>
      <c r="H830" s="40"/>
      <c r="I830" s="41"/>
      <c r="K830" s="42"/>
      <c r="L830" s="42"/>
      <c r="M830" s="41"/>
      <c r="N830" s="43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  <c r="AD830" s="41"/>
      <c r="AE830" s="41"/>
      <c r="AF830" s="41"/>
      <c r="AG830" s="41"/>
      <c r="AH830" s="41"/>
      <c r="AJ830" s="41"/>
      <c r="AM830" s="44"/>
    </row>
    <row r="831">
      <c r="B831" s="39"/>
      <c r="C831" s="40"/>
      <c r="E831" s="40"/>
      <c r="F831" s="40"/>
      <c r="G831" s="40"/>
      <c r="H831" s="40"/>
      <c r="I831" s="41"/>
      <c r="K831" s="42"/>
      <c r="L831" s="42"/>
      <c r="M831" s="41"/>
      <c r="N831" s="43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  <c r="AD831" s="41"/>
      <c r="AE831" s="41"/>
      <c r="AF831" s="41"/>
      <c r="AG831" s="41"/>
      <c r="AH831" s="41"/>
      <c r="AJ831" s="41"/>
      <c r="AM831" s="44"/>
    </row>
    <row r="832">
      <c r="B832" s="39"/>
      <c r="C832" s="40"/>
      <c r="E832" s="40"/>
      <c r="F832" s="40"/>
      <c r="G832" s="40"/>
      <c r="H832" s="40"/>
      <c r="I832" s="41"/>
      <c r="K832" s="42"/>
      <c r="L832" s="42"/>
      <c r="M832" s="41"/>
      <c r="N832" s="43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  <c r="AD832" s="41"/>
      <c r="AE832" s="41"/>
      <c r="AF832" s="41"/>
      <c r="AG832" s="41"/>
      <c r="AH832" s="41"/>
      <c r="AJ832" s="41"/>
      <c r="AM832" s="44"/>
    </row>
    <row r="833">
      <c r="B833" s="39"/>
      <c r="C833" s="40"/>
      <c r="E833" s="40"/>
      <c r="F833" s="40"/>
      <c r="G833" s="40"/>
      <c r="H833" s="40"/>
      <c r="I833" s="41"/>
      <c r="K833" s="42"/>
      <c r="L833" s="42"/>
      <c r="M833" s="41"/>
      <c r="N833" s="43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  <c r="AE833" s="41"/>
      <c r="AF833" s="41"/>
      <c r="AG833" s="41"/>
      <c r="AH833" s="41"/>
      <c r="AJ833" s="41"/>
      <c r="AM833" s="44"/>
    </row>
    <row r="834">
      <c r="B834" s="39"/>
      <c r="C834" s="40"/>
      <c r="E834" s="40"/>
      <c r="F834" s="40"/>
      <c r="G834" s="40"/>
      <c r="H834" s="40"/>
      <c r="I834" s="41"/>
      <c r="K834" s="42"/>
      <c r="L834" s="42"/>
      <c r="M834" s="41"/>
      <c r="N834" s="43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  <c r="AD834" s="41"/>
      <c r="AE834" s="41"/>
      <c r="AF834" s="41"/>
      <c r="AG834" s="41"/>
      <c r="AH834" s="41"/>
      <c r="AJ834" s="41"/>
      <c r="AM834" s="44"/>
    </row>
    <row r="835">
      <c r="B835" s="39"/>
      <c r="C835" s="40"/>
      <c r="E835" s="40"/>
      <c r="F835" s="40"/>
      <c r="G835" s="40"/>
      <c r="H835" s="40"/>
      <c r="I835" s="41"/>
      <c r="K835" s="42"/>
      <c r="L835" s="42"/>
      <c r="M835" s="41"/>
      <c r="N835" s="43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  <c r="AD835" s="41"/>
      <c r="AE835" s="41"/>
      <c r="AF835" s="41"/>
      <c r="AG835" s="41"/>
      <c r="AH835" s="41"/>
      <c r="AJ835" s="41"/>
      <c r="AM835" s="44"/>
    </row>
    <row r="836">
      <c r="B836" s="39"/>
      <c r="C836" s="40"/>
      <c r="E836" s="40"/>
      <c r="F836" s="40"/>
      <c r="G836" s="40"/>
      <c r="H836" s="40"/>
      <c r="I836" s="41"/>
      <c r="K836" s="42"/>
      <c r="L836" s="42"/>
      <c r="M836" s="41"/>
      <c r="N836" s="43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  <c r="AD836" s="41"/>
      <c r="AE836" s="41"/>
      <c r="AF836" s="41"/>
      <c r="AG836" s="41"/>
      <c r="AH836" s="41"/>
      <c r="AJ836" s="41"/>
      <c r="AM836" s="44"/>
    </row>
    <row r="837">
      <c r="B837" s="39"/>
      <c r="C837" s="40"/>
      <c r="E837" s="40"/>
      <c r="F837" s="40"/>
      <c r="G837" s="40"/>
      <c r="H837" s="40"/>
      <c r="I837" s="41"/>
      <c r="K837" s="42"/>
      <c r="L837" s="42"/>
      <c r="M837" s="41"/>
      <c r="N837" s="43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  <c r="AD837" s="41"/>
      <c r="AE837" s="41"/>
      <c r="AF837" s="41"/>
      <c r="AG837" s="41"/>
      <c r="AH837" s="41"/>
      <c r="AJ837" s="41"/>
      <c r="AM837" s="44"/>
    </row>
    <row r="838">
      <c r="B838" s="39"/>
      <c r="C838" s="40"/>
      <c r="E838" s="40"/>
      <c r="F838" s="40"/>
      <c r="G838" s="40"/>
      <c r="H838" s="40"/>
      <c r="I838" s="41"/>
      <c r="K838" s="42"/>
      <c r="L838" s="42"/>
      <c r="M838" s="41"/>
      <c r="N838" s="43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  <c r="AD838" s="41"/>
      <c r="AE838" s="41"/>
      <c r="AF838" s="41"/>
      <c r="AG838" s="41"/>
      <c r="AH838" s="41"/>
      <c r="AJ838" s="41"/>
      <c r="AM838" s="44"/>
    </row>
    <row r="839">
      <c r="B839" s="39"/>
      <c r="C839" s="40"/>
      <c r="E839" s="40"/>
      <c r="F839" s="40"/>
      <c r="G839" s="40"/>
      <c r="H839" s="40"/>
      <c r="I839" s="41"/>
      <c r="K839" s="42"/>
      <c r="L839" s="42"/>
      <c r="M839" s="41"/>
      <c r="N839" s="43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  <c r="AD839" s="41"/>
      <c r="AE839" s="41"/>
      <c r="AF839" s="41"/>
      <c r="AG839" s="41"/>
      <c r="AH839" s="41"/>
      <c r="AJ839" s="41"/>
      <c r="AM839" s="44"/>
    </row>
    <row r="840">
      <c r="B840" s="39"/>
      <c r="C840" s="40"/>
      <c r="E840" s="40"/>
      <c r="F840" s="40"/>
      <c r="G840" s="40"/>
      <c r="H840" s="40"/>
      <c r="I840" s="41"/>
      <c r="K840" s="42"/>
      <c r="L840" s="42"/>
      <c r="M840" s="41"/>
      <c r="N840" s="43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  <c r="AD840" s="41"/>
      <c r="AE840" s="41"/>
      <c r="AF840" s="41"/>
      <c r="AG840" s="41"/>
      <c r="AH840" s="41"/>
      <c r="AJ840" s="41"/>
      <c r="AM840" s="44"/>
    </row>
    <row r="841">
      <c r="B841" s="39"/>
      <c r="C841" s="40"/>
      <c r="E841" s="40"/>
      <c r="F841" s="40"/>
      <c r="G841" s="40"/>
      <c r="H841" s="40"/>
      <c r="I841" s="41"/>
      <c r="K841" s="42"/>
      <c r="L841" s="42"/>
      <c r="M841" s="41"/>
      <c r="N841" s="43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  <c r="AD841" s="41"/>
      <c r="AE841" s="41"/>
      <c r="AF841" s="41"/>
      <c r="AG841" s="41"/>
      <c r="AH841" s="41"/>
      <c r="AJ841" s="41"/>
      <c r="AM841" s="44"/>
    </row>
    <row r="842">
      <c r="B842" s="39"/>
      <c r="C842" s="40"/>
      <c r="E842" s="40"/>
      <c r="F842" s="40"/>
      <c r="G842" s="40"/>
      <c r="H842" s="40"/>
      <c r="I842" s="41"/>
      <c r="K842" s="42"/>
      <c r="L842" s="42"/>
      <c r="M842" s="41"/>
      <c r="N842" s="43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  <c r="AD842" s="41"/>
      <c r="AE842" s="41"/>
      <c r="AF842" s="41"/>
      <c r="AG842" s="41"/>
      <c r="AH842" s="41"/>
      <c r="AJ842" s="41"/>
      <c r="AM842" s="44"/>
    </row>
    <row r="843">
      <c r="B843" s="39"/>
      <c r="C843" s="40"/>
      <c r="E843" s="40"/>
      <c r="F843" s="40"/>
      <c r="G843" s="40"/>
      <c r="H843" s="40"/>
      <c r="I843" s="41"/>
      <c r="K843" s="42"/>
      <c r="L843" s="42"/>
      <c r="M843" s="41"/>
      <c r="N843" s="43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  <c r="AD843" s="41"/>
      <c r="AE843" s="41"/>
      <c r="AF843" s="41"/>
      <c r="AG843" s="41"/>
      <c r="AH843" s="41"/>
      <c r="AJ843" s="41"/>
      <c r="AM843" s="44"/>
    </row>
    <row r="844">
      <c r="B844" s="39"/>
      <c r="C844" s="40"/>
      <c r="E844" s="40"/>
      <c r="F844" s="40"/>
      <c r="G844" s="40"/>
      <c r="H844" s="40"/>
      <c r="I844" s="41"/>
      <c r="K844" s="42"/>
      <c r="L844" s="42"/>
      <c r="M844" s="41"/>
      <c r="N844" s="43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  <c r="AE844" s="41"/>
      <c r="AF844" s="41"/>
      <c r="AG844" s="41"/>
      <c r="AH844" s="41"/>
      <c r="AJ844" s="41"/>
      <c r="AM844" s="44"/>
    </row>
    <row r="845">
      <c r="B845" s="39"/>
      <c r="C845" s="40"/>
      <c r="E845" s="40"/>
      <c r="F845" s="40"/>
      <c r="G845" s="40"/>
      <c r="H845" s="40"/>
      <c r="I845" s="41"/>
      <c r="K845" s="42"/>
      <c r="L845" s="42"/>
      <c r="M845" s="41"/>
      <c r="N845" s="43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  <c r="AD845" s="41"/>
      <c r="AE845" s="41"/>
      <c r="AF845" s="41"/>
      <c r="AG845" s="41"/>
      <c r="AH845" s="41"/>
      <c r="AJ845" s="41"/>
      <c r="AM845" s="44"/>
    </row>
    <row r="846">
      <c r="B846" s="39"/>
      <c r="C846" s="40"/>
      <c r="E846" s="40"/>
      <c r="F846" s="40"/>
      <c r="G846" s="40"/>
      <c r="H846" s="40"/>
      <c r="I846" s="41"/>
      <c r="K846" s="42"/>
      <c r="L846" s="42"/>
      <c r="M846" s="41"/>
      <c r="N846" s="43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  <c r="AD846" s="41"/>
      <c r="AE846" s="41"/>
      <c r="AF846" s="41"/>
      <c r="AG846" s="41"/>
      <c r="AH846" s="41"/>
      <c r="AJ846" s="41"/>
      <c r="AM846" s="44"/>
    </row>
    <row r="847">
      <c r="B847" s="39"/>
      <c r="C847" s="40"/>
      <c r="E847" s="40"/>
      <c r="F847" s="40"/>
      <c r="G847" s="40"/>
      <c r="H847" s="40"/>
      <c r="I847" s="41"/>
      <c r="K847" s="42"/>
      <c r="L847" s="42"/>
      <c r="M847" s="41"/>
      <c r="N847" s="43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  <c r="AD847" s="41"/>
      <c r="AE847" s="41"/>
      <c r="AF847" s="41"/>
      <c r="AG847" s="41"/>
      <c r="AH847" s="41"/>
      <c r="AJ847" s="41"/>
      <c r="AM847" s="44"/>
    </row>
    <row r="848">
      <c r="B848" s="39"/>
      <c r="C848" s="40"/>
      <c r="E848" s="40"/>
      <c r="F848" s="40"/>
      <c r="G848" s="40"/>
      <c r="H848" s="40"/>
      <c r="I848" s="41"/>
      <c r="K848" s="42"/>
      <c r="L848" s="42"/>
      <c r="M848" s="41"/>
      <c r="N848" s="43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  <c r="AD848" s="41"/>
      <c r="AE848" s="41"/>
      <c r="AF848" s="41"/>
      <c r="AG848" s="41"/>
      <c r="AH848" s="41"/>
      <c r="AJ848" s="41"/>
      <c r="AM848" s="44"/>
    </row>
    <row r="849">
      <c r="B849" s="39"/>
      <c r="C849" s="40"/>
      <c r="E849" s="40"/>
      <c r="F849" s="40"/>
      <c r="G849" s="40"/>
      <c r="H849" s="40"/>
      <c r="I849" s="41"/>
      <c r="K849" s="42"/>
      <c r="L849" s="42"/>
      <c r="M849" s="41"/>
      <c r="N849" s="43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  <c r="AD849" s="41"/>
      <c r="AE849" s="41"/>
      <c r="AF849" s="41"/>
      <c r="AG849" s="41"/>
      <c r="AH849" s="41"/>
      <c r="AJ849" s="41"/>
      <c r="AM849" s="44"/>
    </row>
    <row r="850">
      <c r="B850" s="39"/>
      <c r="C850" s="40"/>
      <c r="E850" s="40"/>
      <c r="F850" s="40"/>
      <c r="G850" s="40"/>
      <c r="H850" s="40"/>
      <c r="I850" s="41"/>
      <c r="K850" s="42"/>
      <c r="L850" s="42"/>
      <c r="M850" s="41"/>
      <c r="N850" s="43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  <c r="AD850" s="41"/>
      <c r="AE850" s="41"/>
      <c r="AF850" s="41"/>
      <c r="AG850" s="41"/>
      <c r="AH850" s="41"/>
      <c r="AJ850" s="41"/>
      <c r="AM850" s="44"/>
    </row>
    <row r="851">
      <c r="B851" s="39"/>
      <c r="C851" s="40"/>
      <c r="E851" s="40"/>
      <c r="F851" s="40"/>
      <c r="G851" s="40"/>
      <c r="H851" s="40"/>
      <c r="I851" s="41"/>
      <c r="K851" s="42"/>
      <c r="L851" s="42"/>
      <c r="M851" s="41"/>
      <c r="N851" s="43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  <c r="AE851" s="41"/>
      <c r="AF851" s="41"/>
      <c r="AG851" s="41"/>
      <c r="AH851" s="41"/>
      <c r="AJ851" s="41"/>
      <c r="AM851" s="44"/>
    </row>
    <row r="852">
      <c r="B852" s="39"/>
      <c r="C852" s="40"/>
      <c r="E852" s="40"/>
      <c r="F852" s="40"/>
      <c r="G852" s="40"/>
      <c r="H852" s="40"/>
      <c r="I852" s="41"/>
      <c r="K852" s="42"/>
      <c r="L852" s="42"/>
      <c r="M852" s="41"/>
      <c r="N852" s="43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  <c r="AD852" s="41"/>
      <c r="AE852" s="41"/>
      <c r="AF852" s="41"/>
      <c r="AG852" s="41"/>
      <c r="AH852" s="41"/>
      <c r="AJ852" s="41"/>
      <c r="AM852" s="44"/>
    </row>
    <row r="853">
      <c r="B853" s="39"/>
      <c r="C853" s="40"/>
      <c r="E853" s="40"/>
      <c r="F853" s="40"/>
      <c r="G853" s="40"/>
      <c r="H853" s="40"/>
      <c r="I853" s="41"/>
      <c r="K853" s="42"/>
      <c r="L853" s="42"/>
      <c r="M853" s="41"/>
      <c r="N853" s="43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  <c r="AD853" s="41"/>
      <c r="AE853" s="41"/>
      <c r="AF853" s="41"/>
      <c r="AG853" s="41"/>
      <c r="AH853" s="41"/>
      <c r="AJ853" s="41"/>
      <c r="AM853" s="44"/>
    </row>
    <row r="854">
      <c r="B854" s="39"/>
      <c r="C854" s="40"/>
      <c r="E854" s="40"/>
      <c r="F854" s="40"/>
      <c r="G854" s="40"/>
      <c r="H854" s="40"/>
      <c r="I854" s="41"/>
      <c r="K854" s="42"/>
      <c r="L854" s="42"/>
      <c r="M854" s="41"/>
      <c r="N854" s="43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  <c r="AD854" s="41"/>
      <c r="AE854" s="41"/>
      <c r="AF854" s="41"/>
      <c r="AG854" s="41"/>
      <c r="AH854" s="41"/>
      <c r="AJ854" s="41"/>
      <c r="AM854" s="44"/>
    </row>
    <row r="855">
      <c r="B855" s="39"/>
      <c r="C855" s="40"/>
      <c r="E855" s="40"/>
      <c r="F855" s="40"/>
      <c r="G855" s="40"/>
      <c r="H855" s="40"/>
      <c r="I855" s="41"/>
      <c r="K855" s="42"/>
      <c r="L855" s="42"/>
      <c r="M855" s="41"/>
      <c r="N855" s="43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  <c r="AD855" s="41"/>
      <c r="AE855" s="41"/>
      <c r="AF855" s="41"/>
      <c r="AG855" s="41"/>
      <c r="AH855" s="41"/>
      <c r="AJ855" s="41"/>
      <c r="AM855" s="44"/>
    </row>
    <row r="856">
      <c r="B856" s="39"/>
      <c r="C856" s="40"/>
      <c r="E856" s="40"/>
      <c r="F856" s="40"/>
      <c r="G856" s="40"/>
      <c r="H856" s="40"/>
      <c r="I856" s="41"/>
      <c r="K856" s="42"/>
      <c r="L856" s="42"/>
      <c r="M856" s="41"/>
      <c r="N856" s="43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  <c r="AD856" s="41"/>
      <c r="AE856" s="41"/>
      <c r="AF856" s="41"/>
      <c r="AG856" s="41"/>
      <c r="AH856" s="41"/>
      <c r="AJ856" s="41"/>
      <c r="AM856" s="44"/>
    </row>
    <row r="857">
      <c r="B857" s="39"/>
      <c r="C857" s="40"/>
      <c r="E857" s="40"/>
      <c r="F857" s="40"/>
      <c r="G857" s="40"/>
      <c r="H857" s="40"/>
      <c r="I857" s="41"/>
      <c r="K857" s="42"/>
      <c r="L857" s="42"/>
      <c r="M857" s="41"/>
      <c r="N857" s="43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  <c r="AD857" s="41"/>
      <c r="AE857" s="41"/>
      <c r="AF857" s="41"/>
      <c r="AG857" s="41"/>
      <c r="AH857" s="41"/>
      <c r="AJ857" s="41"/>
      <c r="AM857" s="44"/>
    </row>
    <row r="858">
      <c r="B858" s="39"/>
      <c r="C858" s="40"/>
      <c r="E858" s="40"/>
      <c r="F858" s="40"/>
      <c r="G858" s="40"/>
      <c r="H858" s="40"/>
      <c r="I858" s="41"/>
      <c r="K858" s="42"/>
      <c r="L858" s="42"/>
      <c r="M858" s="41"/>
      <c r="N858" s="43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  <c r="AD858" s="41"/>
      <c r="AE858" s="41"/>
      <c r="AF858" s="41"/>
      <c r="AG858" s="41"/>
      <c r="AH858" s="41"/>
      <c r="AJ858" s="41"/>
      <c r="AM858" s="44"/>
    </row>
    <row r="859">
      <c r="B859" s="39"/>
      <c r="C859" s="40"/>
      <c r="E859" s="40"/>
      <c r="F859" s="40"/>
      <c r="G859" s="40"/>
      <c r="H859" s="40"/>
      <c r="I859" s="41"/>
      <c r="K859" s="42"/>
      <c r="L859" s="42"/>
      <c r="M859" s="41"/>
      <c r="N859" s="43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  <c r="AD859" s="41"/>
      <c r="AE859" s="41"/>
      <c r="AF859" s="41"/>
      <c r="AG859" s="41"/>
      <c r="AH859" s="41"/>
      <c r="AJ859" s="41"/>
      <c r="AM859" s="44"/>
    </row>
    <row r="860">
      <c r="B860" s="39"/>
      <c r="C860" s="40"/>
      <c r="E860" s="40"/>
      <c r="F860" s="40"/>
      <c r="G860" s="40"/>
      <c r="H860" s="40"/>
      <c r="I860" s="41"/>
      <c r="K860" s="42"/>
      <c r="L860" s="42"/>
      <c r="M860" s="41"/>
      <c r="N860" s="43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41"/>
      <c r="AE860" s="41"/>
      <c r="AF860" s="41"/>
      <c r="AG860" s="41"/>
      <c r="AH860" s="41"/>
      <c r="AJ860" s="41"/>
      <c r="AM860" s="44"/>
    </row>
    <row r="861">
      <c r="B861" s="39"/>
      <c r="C861" s="40"/>
      <c r="E861" s="40"/>
      <c r="F861" s="40"/>
      <c r="G861" s="40"/>
      <c r="H861" s="40"/>
      <c r="I861" s="41"/>
      <c r="K861" s="42"/>
      <c r="L861" s="42"/>
      <c r="M861" s="41"/>
      <c r="N861" s="43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  <c r="AD861" s="41"/>
      <c r="AE861" s="41"/>
      <c r="AF861" s="41"/>
      <c r="AG861" s="41"/>
      <c r="AH861" s="41"/>
      <c r="AJ861" s="41"/>
      <c r="AM861" s="44"/>
    </row>
    <row r="862">
      <c r="B862" s="39"/>
      <c r="C862" s="40"/>
      <c r="E862" s="40"/>
      <c r="F862" s="40"/>
      <c r="G862" s="40"/>
      <c r="H862" s="40"/>
      <c r="I862" s="41"/>
      <c r="K862" s="42"/>
      <c r="L862" s="42"/>
      <c r="M862" s="41"/>
      <c r="N862" s="43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41"/>
      <c r="AE862" s="41"/>
      <c r="AF862" s="41"/>
      <c r="AG862" s="41"/>
      <c r="AH862" s="41"/>
      <c r="AJ862" s="41"/>
      <c r="AM862" s="44"/>
    </row>
    <row r="863">
      <c r="B863" s="39"/>
      <c r="C863" s="40"/>
      <c r="E863" s="40"/>
      <c r="F863" s="40"/>
      <c r="G863" s="40"/>
      <c r="H863" s="40"/>
      <c r="I863" s="41"/>
      <c r="K863" s="42"/>
      <c r="L863" s="42"/>
      <c r="M863" s="41"/>
      <c r="N863" s="43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  <c r="AD863" s="41"/>
      <c r="AE863" s="41"/>
      <c r="AF863" s="41"/>
      <c r="AG863" s="41"/>
      <c r="AH863" s="41"/>
      <c r="AJ863" s="41"/>
      <c r="AM863" s="44"/>
    </row>
    <row r="864">
      <c r="B864" s="39"/>
      <c r="C864" s="40"/>
      <c r="E864" s="40"/>
      <c r="F864" s="40"/>
      <c r="G864" s="40"/>
      <c r="H864" s="40"/>
      <c r="I864" s="41"/>
      <c r="K864" s="42"/>
      <c r="L864" s="42"/>
      <c r="M864" s="41"/>
      <c r="N864" s="43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  <c r="AD864" s="41"/>
      <c r="AE864" s="41"/>
      <c r="AF864" s="41"/>
      <c r="AG864" s="41"/>
      <c r="AH864" s="41"/>
      <c r="AJ864" s="41"/>
      <c r="AM864" s="44"/>
    </row>
    <row r="865">
      <c r="B865" s="39"/>
      <c r="C865" s="40"/>
      <c r="E865" s="40"/>
      <c r="F865" s="40"/>
      <c r="G865" s="40"/>
      <c r="H865" s="40"/>
      <c r="I865" s="41"/>
      <c r="K865" s="42"/>
      <c r="L865" s="42"/>
      <c r="M865" s="41"/>
      <c r="N865" s="43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  <c r="AD865" s="41"/>
      <c r="AE865" s="41"/>
      <c r="AF865" s="41"/>
      <c r="AG865" s="41"/>
      <c r="AH865" s="41"/>
      <c r="AJ865" s="41"/>
      <c r="AM865" s="44"/>
    </row>
    <row r="866">
      <c r="B866" s="39"/>
      <c r="C866" s="40"/>
      <c r="E866" s="40"/>
      <c r="F866" s="40"/>
      <c r="G866" s="40"/>
      <c r="H866" s="40"/>
      <c r="I866" s="41"/>
      <c r="K866" s="42"/>
      <c r="L866" s="42"/>
      <c r="M866" s="41"/>
      <c r="N866" s="43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  <c r="AD866" s="41"/>
      <c r="AE866" s="41"/>
      <c r="AF866" s="41"/>
      <c r="AG866" s="41"/>
      <c r="AH866" s="41"/>
      <c r="AJ866" s="41"/>
      <c r="AM866" s="44"/>
    </row>
    <row r="867">
      <c r="B867" s="39"/>
      <c r="C867" s="40"/>
      <c r="E867" s="40"/>
      <c r="F867" s="40"/>
      <c r="G867" s="40"/>
      <c r="H867" s="40"/>
      <c r="I867" s="41"/>
      <c r="K867" s="42"/>
      <c r="L867" s="42"/>
      <c r="M867" s="41"/>
      <c r="N867" s="43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  <c r="AD867" s="41"/>
      <c r="AE867" s="41"/>
      <c r="AF867" s="41"/>
      <c r="AG867" s="41"/>
      <c r="AH867" s="41"/>
      <c r="AJ867" s="41"/>
      <c r="AM867" s="44"/>
    </row>
    <row r="868">
      <c r="B868" s="39"/>
      <c r="C868" s="40"/>
      <c r="E868" s="40"/>
      <c r="F868" s="40"/>
      <c r="G868" s="40"/>
      <c r="H868" s="40"/>
      <c r="I868" s="41"/>
      <c r="K868" s="42"/>
      <c r="L868" s="42"/>
      <c r="M868" s="41"/>
      <c r="N868" s="43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  <c r="AD868" s="41"/>
      <c r="AE868" s="41"/>
      <c r="AF868" s="41"/>
      <c r="AG868" s="41"/>
      <c r="AH868" s="41"/>
      <c r="AJ868" s="41"/>
      <c r="AM868" s="44"/>
    </row>
    <row r="869">
      <c r="B869" s="39"/>
      <c r="C869" s="40"/>
      <c r="E869" s="40"/>
      <c r="F869" s="40"/>
      <c r="G869" s="40"/>
      <c r="H869" s="40"/>
      <c r="I869" s="41"/>
      <c r="K869" s="42"/>
      <c r="L869" s="42"/>
      <c r="M869" s="41"/>
      <c r="N869" s="43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  <c r="AD869" s="41"/>
      <c r="AE869" s="41"/>
      <c r="AF869" s="41"/>
      <c r="AG869" s="41"/>
      <c r="AH869" s="41"/>
      <c r="AJ869" s="41"/>
      <c r="AM869" s="44"/>
    </row>
    <row r="870">
      <c r="B870" s="39"/>
      <c r="C870" s="40"/>
      <c r="E870" s="40"/>
      <c r="F870" s="40"/>
      <c r="G870" s="40"/>
      <c r="H870" s="40"/>
      <c r="I870" s="41"/>
      <c r="K870" s="42"/>
      <c r="L870" s="42"/>
      <c r="M870" s="41"/>
      <c r="N870" s="43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  <c r="AD870" s="41"/>
      <c r="AE870" s="41"/>
      <c r="AF870" s="41"/>
      <c r="AG870" s="41"/>
      <c r="AH870" s="41"/>
      <c r="AJ870" s="41"/>
      <c r="AM870" s="44"/>
    </row>
    <row r="871">
      <c r="B871" s="39"/>
      <c r="C871" s="40"/>
      <c r="E871" s="40"/>
      <c r="F871" s="40"/>
      <c r="G871" s="40"/>
      <c r="H871" s="40"/>
      <c r="I871" s="41"/>
      <c r="K871" s="42"/>
      <c r="L871" s="42"/>
      <c r="M871" s="41"/>
      <c r="N871" s="43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  <c r="AD871" s="41"/>
      <c r="AE871" s="41"/>
      <c r="AF871" s="41"/>
      <c r="AG871" s="41"/>
      <c r="AH871" s="41"/>
      <c r="AJ871" s="41"/>
      <c r="AM871" s="44"/>
    </row>
    <row r="872">
      <c r="B872" s="39"/>
      <c r="C872" s="40"/>
      <c r="E872" s="40"/>
      <c r="F872" s="40"/>
      <c r="G872" s="40"/>
      <c r="H872" s="40"/>
      <c r="I872" s="41"/>
      <c r="K872" s="42"/>
      <c r="L872" s="42"/>
      <c r="M872" s="41"/>
      <c r="N872" s="43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  <c r="AD872" s="41"/>
      <c r="AE872" s="41"/>
      <c r="AF872" s="41"/>
      <c r="AG872" s="41"/>
      <c r="AH872" s="41"/>
      <c r="AJ872" s="41"/>
      <c r="AM872" s="44"/>
    </row>
    <row r="873">
      <c r="B873" s="39"/>
      <c r="C873" s="40"/>
      <c r="E873" s="40"/>
      <c r="F873" s="40"/>
      <c r="G873" s="40"/>
      <c r="H873" s="40"/>
      <c r="I873" s="41"/>
      <c r="K873" s="42"/>
      <c r="L873" s="42"/>
      <c r="M873" s="41"/>
      <c r="N873" s="43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  <c r="AD873" s="41"/>
      <c r="AE873" s="41"/>
      <c r="AF873" s="41"/>
      <c r="AG873" s="41"/>
      <c r="AH873" s="41"/>
      <c r="AJ873" s="41"/>
      <c r="AM873" s="44"/>
    </row>
    <row r="874">
      <c r="B874" s="39"/>
      <c r="C874" s="40"/>
      <c r="E874" s="40"/>
      <c r="F874" s="40"/>
      <c r="G874" s="40"/>
      <c r="H874" s="40"/>
      <c r="I874" s="41"/>
      <c r="K874" s="42"/>
      <c r="L874" s="42"/>
      <c r="M874" s="41"/>
      <c r="N874" s="43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  <c r="AD874" s="41"/>
      <c r="AE874" s="41"/>
      <c r="AF874" s="41"/>
      <c r="AG874" s="41"/>
      <c r="AH874" s="41"/>
      <c r="AJ874" s="41"/>
      <c r="AM874" s="44"/>
    </row>
    <row r="875">
      <c r="B875" s="39"/>
      <c r="C875" s="40"/>
      <c r="E875" s="40"/>
      <c r="F875" s="40"/>
      <c r="G875" s="40"/>
      <c r="H875" s="40"/>
      <c r="I875" s="41"/>
      <c r="K875" s="42"/>
      <c r="L875" s="42"/>
      <c r="M875" s="41"/>
      <c r="N875" s="43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  <c r="AD875" s="41"/>
      <c r="AE875" s="41"/>
      <c r="AF875" s="41"/>
      <c r="AG875" s="41"/>
      <c r="AH875" s="41"/>
      <c r="AJ875" s="41"/>
      <c r="AM875" s="44"/>
    </row>
    <row r="876">
      <c r="B876" s="39"/>
      <c r="C876" s="40"/>
      <c r="E876" s="40"/>
      <c r="F876" s="40"/>
      <c r="G876" s="40"/>
      <c r="H876" s="40"/>
      <c r="I876" s="41"/>
      <c r="K876" s="42"/>
      <c r="L876" s="42"/>
      <c r="M876" s="41"/>
      <c r="N876" s="43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  <c r="AD876" s="41"/>
      <c r="AE876" s="41"/>
      <c r="AF876" s="41"/>
      <c r="AG876" s="41"/>
      <c r="AH876" s="41"/>
      <c r="AJ876" s="41"/>
      <c r="AM876" s="44"/>
    </row>
    <row r="877">
      <c r="B877" s="39"/>
      <c r="C877" s="40"/>
      <c r="E877" s="40"/>
      <c r="F877" s="40"/>
      <c r="G877" s="40"/>
      <c r="H877" s="40"/>
      <c r="I877" s="41"/>
      <c r="K877" s="42"/>
      <c r="L877" s="42"/>
      <c r="M877" s="41"/>
      <c r="N877" s="43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  <c r="AD877" s="41"/>
      <c r="AE877" s="41"/>
      <c r="AF877" s="41"/>
      <c r="AG877" s="41"/>
      <c r="AH877" s="41"/>
      <c r="AJ877" s="41"/>
      <c r="AM877" s="44"/>
    </row>
    <row r="878">
      <c r="B878" s="39"/>
      <c r="C878" s="40"/>
      <c r="E878" s="40"/>
      <c r="F878" s="40"/>
      <c r="G878" s="40"/>
      <c r="H878" s="40"/>
      <c r="I878" s="41"/>
      <c r="K878" s="42"/>
      <c r="L878" s="42"/>
      <c r="M878" s="41"/>
      <c r="N878" s="43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  <c r="AD878" s="41"/>
      <c r="AE878" s="41"/>
      <c r="AF878" s="41"/>
      <c r="AG878" s="41"/>
      <c r="AH878" s="41"/>
      <c r="AJ878" s="41"/>
      <c r="AM878" s="44"/>
    </row>
    <row r="879">
      <c r="B879" s="39"/>
      <c r="C879" s="40"/>
      <c r="E879" s="40"/>
      <c r="F879" s="40"/>
      <c r="G879" s="40"/>
      <c r="H879" s="40"/>
      <c r="I879" s="41"/>
      <c r="K879" s="42"/>
      <c r="L879" s="42"/>
      <c r="M879" s="41"/>
      <c r="N879" s="43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  <c r="AD879" s="41"/>
      <c r="AE879" s="41"/>
      <c r="AF879" s="41"/>
      <c r="AG879" s="41"/>
      <c r="AH879" s="41"/>
      <c r="AJ879" s="41"/>
      <c r="AM879" s="44"/>
    </row>
    <row r="880">
      <c r="B880" s="39"/>
      <c r="C880" s="40"/>
      <c r="E880" s="40"/>
      <c r="F880" s="40"/>
      <c r="G880" s="40"/>
      <c r="H880" s="40"/>
      <c r="I880" s="41"/>
      <c r="K880" s="42"/>
      <c r="L880" s="42"/>
      <c r="M880" s="41"/>
      <c r="N880" s="43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  <c r="AE880" s="41"/>
      <c r="AF880" s="41"/>
      <c r="AG880" s="41"/>
      <c r="AH880" s="41"/>
      <c r="AJ880" s="41"/>
      <c r="AM880" s="44"/>
    </row>
    <row r="881">
      <c r="B881" s="39"/>
      <c r="C881" s="40"/>
      <c r="E881" s="40"/>
      <c r="F881" s="40"/>
      <c r="G881" s="40"/>
      <c r="H881" s="40"/>
      <c r="I881" s="41"/>
      <c r="K881" s="42"/>
      <c r="L881" s="42"/>
      <c r="M881" s="41"/>
      <c r="N881" s="43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  <c r="AD881" s="41"/>
      <c r="AE881" s="41"/>
      <c r="AF881" s="41"/>
      <c r="AG881" s="41"/>
      <c r="AH881" s="41"/>
      <c r="AJ881" s="41"/>
      <c r="AM881" s="44"/>
    </row>
    <row r="882">
      <c r="B882" s="39"/>
      <c r="C882" s="40"/>
      <c r="E882" s="40"/>
      <c r="F882" s="40"/>
      <c r="G882" s="40"/>
      <c r="H882" s="40"/>
      <c r="I882" s="41"/>
      <c r="K882" s="42"/>
      <c r="L882" s="42"/>
      <c r="M882" s="41"/>
      <c r="N882" s="43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  <c r="AD882" s="41"/>
      <c r="AE882" s="41"/>
      <c r="AF882" s="41"/>
      <c r="AG882" s="41"/>
      <c r="AH882" s="41"/>
      <c r="AJ882" s="41"/>
      <c r="AM882" s="44"/>
    </row>
    <row r="883">
      <c r="B883" s="39"/>
      <c r="C883" s="40"/>
      <c r="E883" s="40"/>
      <c r="F883" s="40"/>
      <c r="G883" s="40"/>
      <c r="H883" s="40"/>
      <c r="I883" s="41"/>
      <c r="K883" s="42"/>
      <c r="L883" s="42"/>
      <c r="M883" s="41"/>
      <c r="N883" s="43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  <c r="AD883" s="41"/>
      <c r="AE883" s="41"/>
      <c r="AF883" s="41"/>
      <c r="AG883" s="41"/>
      <c r="AH883" s="41"/>
      <c r="AJ883" s="41"/>
      <c r="AM883" s="44"/>
    </row>
    <row r="884">
      <c r="B884" s="39"/>
      <c r="C884" s="40"/>
      <c r="E884" s="40"/>
      <c r="F884" s="40"/>
      <c r="G884" s="40"/>
      <c r="H884" s="40"/>
      <c r="I884" s="41"/>
      <c r="K884" s="42"/>
      <c r="L884" s="42"/>
      <c r="M884" s="41"/>
      <c r="N884" s="43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  <c r="AD884" s="41"/>
      <c r="AE884" s="41"/>
      <c r="AF884" s="41"/>
      <c r="AG884" s="41"/>
      <c r="AH884" s="41"/>
      <c r="AJ884" s="41"/>
      <c r="AM884" s="44"/>
    </row>
    <row r="885">
      <c r="B885" s="39"/>
      <c r="C885" s="40"/>
      <c r="E885" s="40"/>
      <c r="F885" s="40"/>
      <c r="G885" s="40"/>
      <c r="H885" s="40"/>
      <c r="I885" s="41"/>
      <c r="K885" s="42"/>
      <c r="L885" s="42"/>
      <c r="M885" s="41"/>
      <c r="N885" s="43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  <c r="AC885" s="41"/>
      <c r="AD885" s="41"/>
      <c r="AE885" s="41"/>
      <c r="AF885" s="41"/>
      <c r="AG885" s="41"/>
      <c r="AH885" s="41"/>
      <c r="AJ885" s="41"/>
      <c r="AM885" s="44"/>
    </row>
    <row r="886">
      <c r="B886" s="39"/>
      <c r="C886" s="40"/>
      <c r="E886" s="40"/>
      <c r="F886" s="40"/>
      <c r="G886" s="40"/>
      <c r="H886" s="40"/>
      <c r="I886" s="41"/>
      <c r="K886" s="42"/>
      <c r="L886" s="42"/>
      <c r="M886" s="41"/>
      <c r="N886" s="43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  <c r="AD886" s="41"/>
      <c r="AE886" s="41"/>
      <c r="AF886" s="41"/>
      <c r="AG886" s="41"/>
      <c r="AH886" s="41"/>
      <c r="AJ886" s="41"/>
      <c r="AM886" s="44"/>
    </row>
    <row r="887">
      <c r="B887" s="39"/>
      <c r="C887" s="40"/>
      <c r="E887" s="40"/>
      <c r="F887" s="40"/>
      <c r="G887" s="40"/>
      <c r="H887" s="40"/>
      <c r="I887" s="41"/>
      <c r="K887" s="42"/>
      <c r="L887" s="42"/>
      <c r="M887" s="41"/>
      <c r="N887" s="43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  <c r="AD887" s="41"/>
      <c r="AE887" s="41"/>
      <c r="AF887" s="41"/>
      <c r="AG887" s="41"/>
      <c r="AH887" s="41"/>
      <c r="AJ887" s="41"/>
      <c r="AM887" s="44"/>
    </row>
    <row r="888">
      <c r="B888" s="39"/>
      <c r="C888" s="40"/>
      <c r="E888" s="40"/>
      <c r="F888" s="40"/>
      <c r="G888" s="40"/>
      <c r="H888" s="40"/>
      <c r="I888" s="41"/>
      <c r="K888" s="42"/>
      <c r="L888" s="42"/>
      <c r="M888" s="41"/>
      <c r="N888" s="43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  <c r="AD888" s="41"/>
      <c r="AE888" s="41"/>
      <c r="AF888" s="41"/>
      <c r="AG888" s="41"/>
      <c r="AH888" s="41"/>
      <c r="AJ888" s="41"/>
      <c r="AM888" s="44"/>
    </row>
    <row r="889">
      <c r="B889" s="39"/>
      <c r="C889" s="40"/>
      <c r="E889" s="40"/>
      <c r="F889" s="40"/>
      <c r="G889" s="40"/>
      <c r="H889" s="40"/>
      <c r="I889" s="41"/>
      <c r="K889" s="42"/>
      <c r="L889" s="42"/>
      <c r="M889" s="41"/>
      <c r="N889" s="43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  <c r="AD889" s="41"/>
      <c r="AE889" s="41"/>
      <c r="AF889" s="41"/>
      <c r="AG889" s="41"/>
      <c r="AH889" s="41"/>
      <c r="AJ889" s="41"/>
      <c r="AM889" s="44"/>
    </row>
    <row r="890">
      <c r="B890" s="39"/>
      <c r="C890" s="40"/>
      <c r="E890" s="40"/>
      <c r="F890" s="40"/>
      <c r="G890" s="40"/>
      <c r="H890" s="40"/>
      <c r="I890" s="41"/>
      <c r="K890" s="42"/>
      <c r="L890" s="42"/>
      <c r="M890" s="41"/>
      <c r="N890" s="43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  <c r="AD890" s="41"/>
      <c r="AE890" s="41"/>
      <c r="AF890" s="41"/>
      <c r="AG890" s="41"/>
      <c r="AH890" s="41"/>
      <c r="AJ890" s="41"/>
      <c r="AM890" s="44"/>
    </row>
    <row r="891">
      <c r="B891" s="39"/>
      <c r="C891" s="40"/>
      <c r="E891" s="40"/>
      <c r="F891" s="40"/>
      <c r="G891" s="40"/>
      <c r="H891" s="40"/>
      <c r="I891" s="41"/>
      <c r="K891" s="42"/>
      <c r="L891" s="42"/>
      <c r="M891" s="41"/>
      <c r="N891" s="43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  <c r="AD891" s="41"/>
      <c r="AE891" s="41"/>
      <c r="AF891" s="41"/>
      <c r="AG891" s="41"/>
      <c r="AH891" s="41"/>
      <c r="AJ891" s="41"/>
      <c r="AM891" s="44"/>
    </row>
    <row r="892">
      <c r="B892" s="39"/>
      <c r="C892" s="40"/>
      <c r="E892" s="40"/>
      <c r="F892" s="40"/>
      <c r="G892" s="40"/>
      <c r="H892" s="40"/>
      <c r="I892" s="41"/>
      <c r="K892" s="42"/>
      <c r="L892" s="42"/>
      <c r="M892" s="41"/>
      <c r="N892" s="43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  <c r="AD892" s="41"/>
      <c r="AE892" s="41"/>
      <c r="AF892" s="41"/>
      <c r="AG892" s="41"/>
      <c r="AH892" s="41"/>
      <c r="AJ892" s="41"/>
      <c r="AM892" s="44"/>
    </row>
    <row r="893">
      <c r="B893" s="39"/>
      <c r="C893" s="40"/>
      <c r="E893" s="40"/>
      <c r="F893" s="40"/>
      <c r="G893" s="40"/>
      <c r="H893" s="40"/>
      <c r="I893" s="41"/>
      <c r="K893" s="42"/>
      <c r="L893" s="42"/>
      <c r="M893" s="41"/>
      <c r="N893" s="43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  <c r="AD893" s="41"/>
      <c r="AE893" s="41"/>
      <c r="AF893" s="41"/>
      <c r="AG893" s="41"/>
      <c r="AH893" s="41"/>
      <c r="AJ893" s="41"/>
      <c r="AM893" s="44"/>
    </row>
    <row r="894">
      <c r="B894" s="39"/>
      <c r="C894" s="40"/>
      <c r="E894" s="40"/>
      <c r="F894" s="40"/>
      <c r="G894" s="40"/>
      <c r="H894" s="40"/>
      <c r="I894" s="41"/>
      <c r="K894" s="42"/>
      <c r="L894" s="42"/>
      <c r="M894" s="41"/>
      <c r="N894" s="43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  <c r="AD894" s="41"/>
      <c r="AE894" s="41"/>
      <c r="AF894" s="41"/>
      <c r="AG894" s="41"/>
      <c r="AH894" s="41"/>
      <c r="AJ894" s="41"/>
      <c r="AM894" s="44"/>
    </row>
    <row r="895">
      <c r="B895" s="39"/>
      <c r="C895" s="40"/>
      <c r="E895" s="40"/>
      <c r="F895" s="40"/>
      <c r="G895" s="40"/>
      <c r="H895" s="40"/>
      <c r="I895" s="41"/>
      <c r="K895" s="42"/>
      <c r="L895" s="42"/>
      <c r="M895" s="41"/>
      <c r="N895" s="43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  <c r="AD895" s="41"/>
      <c r="AE895" s="41"/>
      <c r="AF895" s="41"/>
      <c r="AG895" s="41"/>
      <c r="AH895" s="41"/>
      <c r="AJ895" s="41"/>
      <c r="AM895" s="44"/>
    </row>
    <row r="896">
      <c r="B896" s="39"/>
      <c r="C896" s="40"/>
      <c r="E896" s="40"/>
      <c r="F896" s="40"/>
      <c r="G896" s="40"/>
      <c r="H896" s="40"/>
      <c r="I896" s="41"/>
      <c r="K896" s="42"/>
      <c r="L896" s="42"/>
      <c r="M896" s="41"/>
      <c r="N896" s="43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  <c r="AD896" s="41"/>
      <c r="AE896" s="41"/>
      <c r="AF896" s="41"/>
      <c r="AG896" s="41"/>
      <c r="AH896" s="41"/>
      <c r="AJ896" s="41"/>
      <c r="AM896" s="44"/>
    </row>
    <row r="897">
      <c r="B897" s="39"/>
      <c r="C897" s="40"/>
      <c r="E897" s="40"/>
      <c r="F897" s="40"/>
      <c r="G897" s="40"/>
      <c r="H897" s="40"/>
      <c r="I897" s="41"/>
      <c r="K897" s="42"/>
      <c r="L897" s="42"/>
      <c r="M897" s="41"/>
      <c r="N897" s="43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  <c r="AD897" s="41"/>
      <c r="AE897" s="41"/>
      <c r="AF897" s="41"/>
      <c r="AG897" s="41"/>
      <c r="AH897" s="41"/>
      <c r="AJ897" s="41"/>
      <c r="AM897" s="44"/>
    </row>
    <row r="898">
      <c r="B898" s="39"/>
      <c r="C898" s="40"/>
      <c r="E898" s="40"/>
      <c r="F898" s="40"/>
      <c r="G898" s="40"/>
      <c r="H898" s="40"/>
      <c r="I898" s="41"/>
      <c r="K898" s="42"/>
      <c r="L898" s="42"/>
      <c r="M898" s="41"/>
      <c r="N898" s="43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  <c r="AD898" s="41"/>
      <c r="AE898" s="41"/>
      <c r="AF898" s="41"/>
      <c r="AG898" s="41"/>
      <c r="AH898" s="41"/>
      <c r="AJ898" s="41"/>
      <c r="AM898" s="44"/>
    </row>
    <row r="899">
      <c r="B899" s="39"/>
      <c r="C899" s="40"/>
      <c r="E899" s="40"/>
      <c r="F899" s="40"/>
      <c r="G899" s="40"/>
      <c r="H899" s="40"/>
      <c r="I899" s="41"/>
      <c r="K899" s="42"/>
      <c r="L899" s="42"/>
      <c r="M899" s="41"/>
      <c r="N899" s="43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  <c r="AD899" s="41"/>
      <c r="AE899" s="41"/>
      <c r="AF899" s="41"/>
      <c r="AG899" s="41"/>
      <c r="AH899" s="41"/>
      <c r="AJ899" s="41"/>
      <c r="AM899" s="44"/>
    </row>
    <row r="900">
      <c r="B900" s="39"/>
      <c r="C900" s="40"/>
      <c r="E900" s="40"/>
      <c r="F900" s="40"/>
      <c r="G900" s="40"/>
      <c r="H900" s="40"/>
      <c r="I900" s="41"/>
      <c r="K900" s="42"/>
      <c r="L900" s="42"/>
      <c r="M900" s="41"/>
      <c r="N900" s="43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  <c r="AD900" s="41"/>
      <c r="AE900" s="41"/>
      <c r="AF900" s="41"/>
      <c r="AG900" s="41"/>
      <c r="AH900" s="41"/>
      <c r="AJ900" s="41"/>
      <c r="AM900" s="44"/>
    </row>
    <row r="901">
      <c r="B901" s="39"/>
      <c r="C901" s="40"/>
      <c r="E901" s="40"/>
      <c r="F901" s="40"/>
      <c r="G901" s="40"/>
      <c r="H901" s="40"/>
      <c r="I901" s="41"/>
      <c r="K901" s="42"/>
      <c r="L901" s="42"/>
      <c r="M901" s="41"/>
      <c r="N901" s="43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  <c r="AD901" s="41"/>
      <c r="AE901" s="41"/>
      <c r="AF901" s="41"/>
      <c r="AG901" s="41"/>
      <c r="AH901" s="41"/>
      <c r="AJ901" s="41"/>
      <c r="AM901" s="44"/>
    </row>
    <row r="902">
      <c r="B902" s="39"/>
      <c r="C902" s="40"/>
      <c r="E902" s="40"/>
      <c r="F902" s="40"/>
      <c r="G902" s="40"/>
      <c r="H902" s="40"/>
      <c r="I902" s="41"/>
      <c r="K902" s="42"/>
      <c r="L902" s="42"/>
      <c r="M902" s="41"/>
      <c r="N902" s="43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  <c r="AD902" s="41"/>
      <c r="AE902" s="41"/>
      <c r="AF902" s="41"/>
      <c r="AG902" s="41"/>
      <c r="AH902" s="41"/>
      <c r="AJ902" s="41"/>
      <c r="AM902" s="44"/>
    </row>
    <row r="903">
      <c r="B903" s="39"/>
      <c r="C903" s="40"/>
      <c r="E903" s="40"/>
      <c r="F903" s="40"/>
      <c r="G903" s="40"/>
      <c r="H903" s="40"/>
      <c r="I903" s="41"/>
      <c r="K903" s="42"/>
      <c r="L903" s="42"/>
      <c r="M903" s="41"/>
      <c r="N903" s="43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  <c r="AD903" s="41"/>
      <c r="AE903" s="41"/>
      <c r="AF903" s="41"/>
      <c r="AG903" s="41"/>
      <c r="AH903" s="41"/>
      <c r="AJ903" s="41"/>
      <c r="AM903" s="44"/>
    </row>
    <row r="904">
      <c r="B904" s="39"/>
      <c r="C904" s="40"/>
      <c r="E904" s="40"/>
      <c r="F904" s="40"/>
      <c r="G904" s="40"/>
      <c r="H904" s="40"/>
      <c r="I904" s="41"/>
      <c r="K904" s="42"/>
      <c r="L904" s="42"/>
      <c r="M904" s="41"/>
      <c r="N904" s="43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  <c r="AD904" s="41"/>
      <c r="AE904" s="41"/>
      <c r="AF904" s="41"/>
      <c r="AG904" s="41"/>
      <c r="AH904" s="41"/>
      <c r="AJ904" s="41"/>
      <c r="AM904" s="44"/>
    </row>
    <row r="905">
      <c r="B905" s="39"/>
      <c r="C905" s="40"/>
      <c r="E905" s="40"/>
      <c r="F905" s="40"/>
      <c r="G905" s="40"/>
      <c r="H905" s="40"/>
      <c r="I905" s="41"/>
      <c r="K905" s="42"/>
      <c r="L905" s="42"/>
      <c r="M905" s="41"/>
      <c r="N905" s="43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  <c r="AD905" s="41"/>
      <c r="AE905" s="41"/>
      <c r="AF905" s="41"/>
      <c r="AG905" s="41"/>
      <c r="AH905" s="41"/>
      <c r="AJ905" s="41"/>
      <c r="AM905" s="44"/>
    </row>
    <row r="906">
      <c r="B906" s="39"/>
      <c r="C906" s="40"/>
      <c r="E906" s="40"/>
      <c r="F906" s="40"/>
      <c r="G906" s="40"/>
      <c r="H906" s="40"/>
      <c r="I906" s="41"/>
      <c r="K906" s="42"/>
      <c r="L906" s="42"/>
      <c r="M906" s="41"/>
      <c r="N906" s="43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  <c r="AD906" s="41"/>
      <c r="AE906" s="41"/>
      <c r="AF906" s="41"/>
      <c r="AG906" s="41"/>
      <c r="AH906" s="41"/>
      <c r="AJ906" s="41"/>
      <c r="AM906" s="44"/>
    </row>
    <row r="907">
      <c r="B907" s="39"/>
      <c r="C907" s="40"/>
      <c r="E907" s="40"/>
      <c r="F907" s="40"/>
      <c r="G907" s="40"/>
      <c r="H907" s="40"/>
      <c r="I907" s="41"/>
      <c r="K907" s="42"/>
      <c r="L907" s="42"/>
      <c r="M907" s="41"/>
      <c r="N907" s="43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  <c r="AD907" s="41"/>
      <c r="AE907" s="41"/>
      <c r="AF907" s="41"/>
      <c r="AG907" s="41"/>
      <c r="AH907" s="41"/>
      <c r="AJ907" s="41"/>
      <c r="AM907" s="44"/>
    </row>
    <row r="908">
      <c r="B908" s="39"/>
      <c r="C908" s="40"/>
      <c r="E908" s="40"/>
      <c r="F908" s="40"/>
      <c r="G908" s="40"/>
      <c r="H908" s="40"/>
      <c r="I908" s="41"/>
      <c r="K908" s="42"/>
      <c r="L908" s="42"/>
      <c r="M908" s="41"/>
      <c r="N908" s="43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  <c r="AD908" s="41"/>
      <c r="AE908" s="41"/>
      <c r="AF908" s="41"/>
      <c r="AG908" s="41"/>
      <c r="AH908" s="41"/>
      <c r="AJ908" s="41"/>
      <c r="AM908" s="44"/>
    </row>
    <row r="909">
      <c r="B909" s="39"/>
      <c r="C909" s="40"/>
      <c r="E909" s="40"/>
      <c r="F909" s="40"/>
      <c r="G909" s="40"/>
      <c r="H909" s="40"/>
      <c r="I909" s="41"/>
      <c r="K909" s="42"/>
      <c r="L909" s="42"/>
      <c r="M909" s="41"/>
      <c r="N909" s="43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  <c r="AD909" s="41"/>
      <c r="AE909" s="41"/>
      <c r="AF909" s="41"/>
      <c r="AG909" s="41"/>
      <c r="AH909" s="41"/>
      <c r="AJ909" s="41"/>
      <c r="AM909" s="44"/>
    </row>
    <row r="910">
      <c r="B910" s="39"/>
      <c r="C910" s="40"/>
      <c r="E910" s="40"/>
      <c r="F910" s="40"/>
      <c r="G910" s="40"/>
      <c r="H910" s="40"/>
      <c r="I910" s="41"/>
      <c r="K910" s="42"/>
      <c r="L910" s="42"/>
      <c r="M910" s="41"/>
      <c r="N910" s="43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  <c r="AD910" s="41"/>
      <c r="AE910" s="41"/>
      <c r="AF910" s="41"/>
      <c r="AG910" s="41"/>
      <c r="AH910" s="41"/>
      <c r="AJ910" s="41"/>
      <c r="AM910" s="44"/>
    </row>
    <row r="911">
      <c r="B911" s="39"/>
      <c r="C911" s="40"/>
      <c r="E911" s="40"/>
      <c r="F911" s="40"/>
      <c r="G911" s="40"/>
      <c r="H911" s="40"/>
      <c r="I911" s="41"/>
      <c r="K911" s="42"/>
      <c r="L911" s="42"/>
      <c r="M911" s="41"/>
      <c r="N911" s="43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  <c r="AD911" s="41"/>
      <c r="AE911" s="41"/>
      <c r="AF911" s="41"/>
      <c r="AG911" s="41"/>
      <c r="AH911" s="41"/>
      <c r="AJ911" s="41"/>
      <c r="AM911" s="44"/>
    </row>
    <row r="912">
      <c r="B912" s="39"/>
      <c r="C912" s="40"/>
      <c r="E912" s="40"/>
      <c r="F912" s="40"/>
      <c r="G912" s="40"/>
      <c r="H912" s="40"/>
      <c r="I912" s="41"/>
      <c r="K912" s="42"/>
      <c r="L912" s="42"/>
      <c r="M912" s="41"/>
      <c r="N912" s="43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  <c r="AD912" s="41"/>
      <c r="AE912" s="41"/>
      <c r="AF912" s="41"/>
      <c r="AG912" s="41"/>
      <c r="AH912" s="41"/>
      <c r="AJ912" s="41"/>
      <c r="AM912" s="44"/>
    </row>
    <row r="913">
      <c r="B913" s="39"/>
      <c r="C913" s="40"/>
      <c r="E913" s="40"/>
      <c r="F913" s="40"/>
      <c r="G913" s="40"/>
      <c r="H913" s="40"/>
      <c r="I913" s="41"/>
      <c r="K913" s="42"/>
      <c r="L913" s="42"/>
      <c r="M913" s="41"/>
      <c r="N913" s="43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  <c r="AD913" s="41"/>
      <c r="AE913" s="41"/>
      <c r="AF913" s="41"/>
      <c r="AG913" s="41"/>
      <c r="AH913" s="41"/>
      <c r="AJ913" s="41"/>
      <c r="AM913" s="44"/>
    </row>
    <row r="914">
      <c r="B914" s="39"/>
      <c r="C914" s="40"/>
      <c r="E914" s="40"/>
      <c r="F914" s="40"/>
      <c r="G914" s="40"/>
      <c r="H914" s="40"/>
      <c r="I914" s="41"/>
      <c r="K914" s="42"/>
      <c r="L914" s="42"/>
      <c r="M914" s="41"/>
      <c r="N914" s="43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  <c r="AD914" s="41"/>
      <c r="AE914" s="41"/>
      <c r="AF914" s="41"/>
      <c r="AG914" s="41"/>
      <c r="AH914" s="41"/>
      <c r="AJ914" s="41"/>
      <c r="AM914" s="44"/>
    </row>
    <row r="915">
      <c r="B915" s="39"/>
      <c r="C915" s="40"/>
      <c r="E915" s="40"/>
      <c r="F915" s="40"/>
      <c r="G915" s="40"/>
      <c r="H915" s="40"/>
      <c r="I915" s="41"/>
      <c r="K915" s="42"/>
      <c r="L915" s="42"/>
      <c r="M915" s="41"/>
      <c r="N915" s="43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  <c r="AD915" s="41"/>
      <c r="AE915" s="41"/>
      <c r="AF915" s="41"/>
      <c r="AG915" s="41"/>
      <c r="AH915" s="41"/>
      <c r="AJ915" s="41"/>
      <c r="AM915" s="44"/>
    </row>
    <row r="916">
      <c r="B916" s="39"/>
      <c r="C916" s="40"/>
      <c r="E916" s="40"/>
      <c r="F916" s="40"/>
      <c r="G916" s="40"/>
      <c r="H916" s="40"/>
      <c r="I916" s="41"/>
      <c r="K916" s="42"/>
      <c r="L916" s="42"/>
      <c r="M916" s="41"/>
      <c r="N916" s="43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  <c r="AD916" s="41"/>
      <c r="AE916" s="41"/>
      <c r="AF916" s="41"/>
      <c r="AG916" s="41"/>
      <c r="AH916" s="41"/>
      <c r="AJ916" s="41"/>
      <c r="AM916" s="44"/>
    </row>
    <row r="917">
      <c r="B917" s="39"/>
      <c r="C917" s="40"/>
      <c r="E917" s="40"/>
      <c r="F917" s="40"/>
      <c r="G917" s="40"/>
      <c r="H917" s="40"/>
      <c r="I917" s="41"/>
      <c r="K917" s="42"/>
      <c r="L917" s="42"/>
      <c r="M917" s="41"/>
      <c r="N917" s="43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  <c r="AC917" s="41"/>
      <c r="AD917" s="41"/>
      <c r="AE917" s="41"/>
      <c r="AF917" s="41"/>
      <c r="AG917" s="41"/>
      <c r="AH917" s="41"/>
      <c r="AJ917" s="41"/>
      <c r="AM917" s="44"/>
    </row>
    <row r="918">
      <c r="B918" s="39"/>
      <c r="C918" s="40"/>
      <c r="E918" s="40"/>
      <c r="F918" s="40"/>
      <c r="G918" s="40"/>
      <c r="H918" s="40"/>
      <c r="I918" s="41"/>
      <c r="K918" s="42"/>
      <c r="L918" s="42"/>
      <c r="M918" s="41"/>
      <c r="N918" s="43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  <c r="AD918" s="41"/>
      <c r="AE918" s="41"/>
      <c r="AF918" s="41"/>
      <c r="AG918" s="41"/>
      <c r="AH918" s="41"/>
      <c r="AJ918" s="41"/>
      <c r="AM918" s="44"/>
    </row>
    <row r="919">
      <c r="B919" s="39"/>
      <c r="C919" s="40"/>
      <c r="E919" s="40"/>
      <c r="F919" s="40"/>
      <c r="G919" s="40"/>
      <c r="H919" s="40"/>
      <c r="I919" s="41"/>
      <c r="K919" s="42"/>
      <c r="L919" s="42"/>
      <c r="M919" s="41"/>
      <c r="N919" s="43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  <c r="AD919" s="41"/>
      <c r="AE919" s="41"/>
      <c r="AF919" s="41"/>
      <c r="AG919" s="41"/>
      <c r="AH919" s="41"/>
      <c r="AJ919" s="41"/>
      <c r="AM919" s="44"/>
    </row>
    <row r="920">
      <c r="B920" s="39"/>
      <c r="C920" s="40"/>
      <c r="E920" s="40"/>
      <c r="F920" s="40"/>
      <c r="G920" s="40"/>
      <c r="H920" s="40"/>
      <c r="I920" s="41"/>
      <c r="K920" s="42"/>
      <c r="L920" s="42"/>
      <c r="M920" s="41"/>
      <c r="N920" s="43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  <c r="AD920" s="41"/>
      <c r="AE920" s="41"/>
      <c r="AF920" s="41"/>
      <c r="AG920" s="41"/>
      <c r="AH920" s="41"/>
      <c r="AJ920" s="41"/>
      <c r="AM920" s="44"/>
    </row>
    <row r="921">
      <c r="B921" s="39"/>
      <c r="C921" s="40"/>
      <c r="E921" s="40"/>
      <c r="F921" s="40"/>
      <c r="G921" s="40"/>
      <c r="H921" s="40"/>
      <c r="I921" s="41"/>
      <c r="K921" s="42"/>
      <c r="L921" s="42"/>
      <c r="M921" s="41"/>
      <c r="N921" s="43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  <c r="AD921" s="41"/>
      <c r="AE921" s="41"/>
      <c r="AF921" s="41"/>
      <c r="AG921" s="41"/>
      <c r="AH921" s="41"/>
      <c r="AJ921" s="41"/>
      <c r="AM921" s="44"/>
    </row>
    <row r="922">
      <c r="B922" s="39"/>
      <c r="C922" s="40"/>
      <c r="E922" s="40"/>
      <c r="F922" s="40"/>
      <c r="G922" s="40"/>
      <c r="H922" s="40"/>
      <c r="I922" s="41"/>
      <c r="K922" s="42"/>
      <c r="L922" s="42"/>
      <c r="M922" s="41"/>
      <c r="N922" s="43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  <c r="AD922" s="41"/>
      <c r="AE922" s="41"/>
      <c r="AF922" s="41"/>
      <c r="AG922" s="41"/>
      <c r="AH922" s="41"/>
      <c r="AJ922" s="41"/>
      <c r="AM922" s="44"/>
    </row>
    <row r="923">
      <c r="B923" s="39"/>
      <c r="C923" s="40"/>
      <c r="E923" s="40"/>
      <c r="F923" s="40"/>
      <c r="G923" s="40"/>
      <c r="H923" s="40"/>
      <c r="I923" s="41"/>
      <c r="K923" s="42"/>
      <c r="L923" s="42"/>
      <c r="M923" s="41"/>
      <c r="N923" s="43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  <c r="AD923" s="41"/>
      <c r="AE923" s="41"/>
      <c r="AF923" s="41"/>
      <c r="AG923" s="41"/>
      <c r="AH923" s="41"/>
      <c r="AJ923" s="41"/>
      <c r="AM923" s="44"/>
    </row>
    <row r="924">
      <c r="B924" s="39"/>
      <c r="C924" s="40"/>
      <c r="E924" s="40"/>
      <c r="F924" s="40"/>
      <c r="G924" s="40"/>
      <c r="H924" s="40"/>
      <c r="I924" s="41"/>
      <c r="K924" s="42"/>
      <c r="L924" s="42"/>
      <c r="M924" s="41"/>
      <c r="N924" s="43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  <c r="AD924" s="41"/>
      <c r="AE924" s="41"/>
      <c r="AF924" s="41"/>
      <c r="AG924" s="41"/>
      <c r="AH924" s="41"/>
      <c r="AJ924" s="41"/>
      <c r="AM924" s="44"/>
    </row>
    <row r="925">
      <c r="B925" s="39"/>
      <c r="C925" s="40"/>
      <c r="E925" s="40"/>
      <c r="F925" s="40"/>
      <c r="G925" s="40"/>
      <c r="H925" s="40"/>
      <c r="I925" s="41"/>
      <c r="K925" s="42"/>
      <c r="L925" s="42"/>
      <c r="M925" s="41"/>
      <c r="N925" s="43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  <c r="AD925" s="41"/>
      <c r="AE925" s="41"/>
      <c r="AF925" s="41"/>
      <c r="AG925" s="41"/>
      <c r="AH925" s="41"/>
      <c r="AJ925" s="41"/>
      <c r="AM925" s="44"/>
    </row>
    <row r="926">
      <c r="B926" s="39"/>
      <c r="C926" s="40"/>
      <c r="E926" s="40"/>
      <c r="F926" s="40"/>
      <c r="G926" s="40"/>
      <c r="H926" s="40"/>
      <c r="I926" s="41"/>
      <c r="K926" s="42"/>
      <c r="L926" s="42"/>
      <c r="M926" s="41"/>
      <c r="N926" s="43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  <c r="AD926" s="41"/>
      <c r="AE926" s="41"/>
      <c r="AF926" s="41"/>
      <c r="AG926" s="41"/>
      <c r="AH926" s="41"/>
      <c r="AJ926" s="41"/>
      <c r="AM926" s="44"/>
    </row>
    <row r="927">
      <c r="B927" s="39"/>
      <c r="C927" s="40"/>
      <c r="E927" s="40"/>
      <c r="F927" s="40"/>
      <c r="G927" s="40"/>
      <c r="H927" s="40"/>
      <c r="I927" s="41"/>
      <c r="K927" s="42"/>
      <c r="L927" s="42"/>
      <c r="M927" s="41"/>
      <c r="N927" s="43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  <c r="AD927" s="41"/>
      <c r="AE927" s="41"/>
      <c r="AF927" s="41"/>
      <c r="AG927" s="41"/>
      <c r="AH927" s="41"/>
      <c r="AJ927" s="41"/>
      <c r="AM927" s="44"/>
    </row>
    <row r="928">
      <c r="B928" s="39"/>
      <c r="C928" s="40"/>
      <c r="E928" s="40"/>
      <c r="F928" s="40"/>
      <c r="G928" s="40"/>
      <c r="H928" s="40"/>
      <c r="I928" s="41"/>
      <c r="K928" s="42"/>
      <c r="L928" s="42"/>
      <c r="M928" s="41"/>
      <c r="N928" s="43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  <c r="AD928" s="41"/>
      <c r="AE928" s="41"/>
      <c r="AF928" s="41"/>
      <c r="AG928" s="41"/>
      <c r="AH928" s="41"/>
      <c r="AJ928" s="41"/>
      <c r="AM928" s="44"/>
    </row>
    <row r="929">
      <c r="B929" s="39"/>
      <c r="C929" s="40"/>
      <c r="E929" s="40"/>
      <c r="F929" s="40"/>
      <c r="G929" s="40"/>
      <c r="H929" s="40"/>
      <c r="I929" s="41"/>
      <c r="K929" s="42"/>
      <c r="L929" s="42"/>
      <c r="M929" s="41"/>
      <c r="N929" s="43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  <c r="AD929" s="41"/>
      <c r="AE929" s="41"/>
      <c r="AF929" s="41"/>
      <c r="AG929" s="41"/>
      <c r="AH929" s="41"/>
      <c r="AJ929" s="41"/>
      <c r="AM929" s="44"/>
    </row>
    <row r="930">
      <c r="B930" s="39"/>
      <c r="C930" s="40"/>
      <c r="E930" s="40"/>
      <c r="F930" s="40"/>
      <c r="G930" s="40"/>
      <c r="H930" s="40"/>
      <c r="I930" s="41"/>
      <c r="K930" s="42"/>
      <c r="L930" s="42"/>
      <c r="M930" s="41"/>
      <c r="N930" s="43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  <c r="AD930" s="41"/>
      <c r="AE930" s="41"/>
      <c r="AF930" s="41"/>
      <c r="AG930" s="41"/>
      <c r="AH930" s="41"/>
      <c r="AJ930" s="41"/>
      <c r="AM930" s="44"/>
    </row>
    <row r="931">
      <c r="B931" s="39"/>
      <c r="C931" s="40"/>
      <c r="E931" s="40"/>
      <c r="F931" s="40"/>
      <c r="G931" s="40"/>
      <c r="H931" s="40"/>
      <c r="I931" s="41"/>
      <c r="K931" s="42"/>
      <c r="L931" s="42"/>
      <c r="M931" s="41"/>
      <c r="N931" s="43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  <c r="AD931" s="41"/>
      <c r="AE931" s="41"/>
      <c r="AF931" s="41"/>
      <c r="AG931" s="41"/>
      <c r="AH931" s="41"/>
      <c r="AJ931" s="41"/>
      <c r="AM931" s="44"/>
    </row>
    <row r="932">
      <c r="B932" s="39"/>
      <c r="C932" s="40"/>
      <c r="E932" s="40"/>
      <c r="F932" s="40"/>
      <c r="G932" s="40"/>
      <c r="H932" s="40"/>
      <c r="I932" s="41"/>
      <c r="K932" s="42"/>
      <c r="L932" s="42"/>
      <c r="M932" s="41"/>
      <c r="N932" s="43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  <c r="AD932" s="41"/>
      <c r="AE932" s="41"/>
      <c r="AF932" s="41"/>
      <c r="AG932" s="41"/>
      <c r="AH932" s="41"/>
      <c r="AJ932" s="41"/>
      <c r="AM932" s="44"/>
    </row>
    <row r="933">
      <c r="B933" s="39"/>
      <c r="C933" s="40"/>
      <c r="E933" s="40"/>
      <c r="F933" s="40"/>
      <c r="G933" s="40"/>
      <c r="H933" s="40"/>
      <c r="I933" s="41"/>
      <c r="K933" s="42"/>
      <c r="L933" s="42"/>
      <c r="M933" s="41"/>
      <c r="N933" s="43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  <c r="AD933" s="41"/>
      <c r="AE933" s="41"/>
      <c r="AF933" s="41"/>
      <c r="AG933" s="41"/>
      <c r="AH933" s="41"/>
      <c r="AJ933" s="41"/>
      <c r="AM933" s="44"/>
    </row>
    <row r="934">
      <c r="B934" s="39"/>
      <c r="C934" s="40"/>
      <c r="E934" s="40"/>
      <c r="F934" s="40"/>
      <c r="G934" s="40"/>
      <c r="H934" s="40"/>
      <c r="I934" s="41"/>
      <c r="K934" s="42"/>
      <c r="L934" s="42"/>
      <c r="M934" s="41"/>
      <c r="N934" s="43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  <c r="AD934" s="41"/>
      <c r="AE934" s="41"/>
      <c r="AF934" s="41"/>
      <c r="AG934" s="41"/>
      <c r="AH934" s="41"/>
      <c r="AJ934" s="41"/>
      <c r="AM934" s="44"/>
    </row>
    <row r="935">
      <c r="B935" s="39"/>
      <c r="C935" s="40"/>
      <c r="E935" s="40"/>
      <c r="F935" s="40"/>
      <c r="G935" s="40"/>
      <c r="H935" s="40"/>
      <c r="I935" s="41"/>
      <c r="K935" s="42"/>
      <c r="L935" s="42"/>
      <c r="M935" s="41"/>
      <c r="N935" s="43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  <c r="AD935" s="41"/>
      <c r="AE935" s="41"/>
      <c r="AF935" s="41"/>
      <c r="AG935" s="41"/>
      <c r="AH935" s="41"/>
      <c r="AJ935" s="41"/>
      <c r="AM935" s="44"/>
    </row>
    <row r="936">
      <c r="B936" s="39"/>
      <c r="C936" s="40"/>
      <c r="E936" s="40"/>
      <c r="F936" s="40"/>
      <c r="G936" s="40"/>
      <c r="H936" s="40"/>
      <c r="I936" s="41"/>
      <c r="K936" s="42"/>
      <c r="L936" s="42"/>
      <c r="M936" s="41"/>
      <c r="N936" s="43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  <c r="AD936" s="41"/>
      <c r="AE936" s="41"/>
      <c r="AF936" s="41"/>
      <c r="AG936" s="41"/>
      <c r="AH936" s="41"/>
      <c r="AJ936" s="41"/>
      <c r="AM936" s="44"/>
    </row>
    <row r="937">
      <c r="B937" s="39"/>
      <c r="C937" s="40"/>
      <c r="E937" s="40"/>
      <c r="F937" s="40"/>
      <c r="G937" s="40"/>
      <c r="H937" s="40"/>
      <c r="I937" s="41"/>
      <c r="K937" s="42"/>
      <c r="L937" s="42"/>
      <c r="M937" s="41"/>
      <c r="N937" s="43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  <c r="AD937" s="41"/>
      <c r="AE937" s="41"/>
      <c r="AF937" s="41"/>
      <c r="AG937" s="41"/>
      <c r="AH937" s="41"/>
      <c r="AJ937" s="41"/>
      <c r="AM937" s="44"/>
    </row>
    <row r="938">
      <c r="B938" s="39"/>
      <c r="C938" s="40"/>
      <c r="E938" s="40"/>
      <c r="F938" s="40"/>
      <c r="G938" s="40"/>
      <c r="H938" s="40"/>
      <c r="I938" s="41"/>
      <c r="K938" s="42"/>
      <c r="L938" s="42"/>
      <c r="M938" s="41"/>
      <c r="N938" s="43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  <c r="AD938" s="41"/>
      <c r="AE938" s="41"/>
      <c r="AF938" s="41"/>
      <c r="AG938" s="41"/>
      <c r="AH938" s="41"/>
      <c r="AJ938" s="41"/>
      <c r="AM938" s="44"/>
    </row>
    <row r="939">
      <c r="B939" s="39"/>
      <c r="C939" s="40"/>
      <c r="E939" s="40"/>
      <c r="F939" s="40"/>
      <c r="G939" s="40"/>
      <c r="H939" s="40"/>
      <c r="I939" s="41"/>
      <c r="K939" s="42"/>
      <c r="L939" s="42"/>
      <c r="M939" s="41"/>
      <c r="N939" s="43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  <c r="AD939" s="41"/>
      <c r="AE939" s="41"/>
      <c r="AF939" s="41"/>
      <c r="AG939" s="41"/>
      <c r="AH939" s="41"/>
      <c r="AJ939" s="41"/>
      <c r="AM939" s="44"/>
    </row>
    <row r="940">
      <c r="B940" s="39"/>
      <c r="C940" s="40"/>
      <c r="E940" s="40"/>
      <c r="F940" s="40"/>
      <c r="G940" s="40"/>
      <c r="H940" s="40"/>
      <c r="I940" s="41"/>
      <c r="K940" s="42"/>
      <c r="L940" s="42"/>
      <c r="M940" s="41"/>
      <c r="N940" s="43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  <c r="AD940" s="41"/>
      <c r="AE940" s="41"/>
      <c r="AF940" s="41"/>
      <c r="AG940" s="41"/>
      <c r="AH940" s="41"/>
      <c r="AJ940" s="41"/>
      <c r="AM940" s="44"/>
    </row>
    <row r="941">
      <c r="B941" s="39"/>
      <c r="C941" s="40"/>
      <c r="E941" s="40"/>
      <c r="F941" s="40"/>
      <c r="G941" s="40"/>
      <c r="H941" s="40"/>
      <c r="I941" s="41"/>
      <c r="K941" s="42"/>
      <c r="L941" s="42"/>
      <c r="M941" s="41"/>
      <c r="N941" s="43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  <c r="AD941" s="41"/>
      <c r="AE941" s="41"/>
      <c r="AF941" s="41"/>
      <c r="AG941" s="41"/>
      <c r="AH941" s="41"/>
      <c r="AJ941" s="41"/>
      <c r="AM941" s="44"/>
    </row>
    <row r="942">
      <c r="B942" s="39"/>
      <c r="C942" s="40"/>
      <c r="E942" s="40"/>
      <c r="F942" s="40"/>
      <c r="G942" s="40"/>
      <c r="H942" s="40"/>
      <c r="I942" s="41"/>
      <c r="K942" s="42"/>
      <c r="L942" s="42"/>
      <c r="M942" s="41"/>
      <c r="N942" s="43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  <c r="AD942" s="41"/>
      <c r="AE942" s="41"/>
      <c r="AF942" s="41"/>
      <c r="AG942" s="41"/>
      <c r="AH942" s="41"/>
      <c r="AJ942" s="41"/>
      <c r="AM942" s="44"/>
    </row>
    <row r="943">
      <c r="B943" s="39"/>
      <c r="C943" s="40"/>
      <c r="E943" s="40"/>
      <c r="F943" s="40"/>
      <c r="G943" s="40"/>
      <c r="H943" s="40"/>
      <c r="I943" s="41"/>
      <c r="K943" s="42"/>
      <c r="L943" s="42"/>
      <c r="M943" s="41"/>
      <c r="N943" s="43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  <c r="AD943" s="41"/>
      <c r="AE943" s="41"/>
      <c r="AF943" s="41"/>
      <c r="AG943" s="41"/>
      <c r="AH943" s="41"/>
      <c r="AJ943" s="41"/>
      <c r="AM943" s="44"/>
    </row>
    <row r="944">
      <c r="B944" s="39"/>
      <c r="C944" s="40"/>
      <c r="E944" s="40"/>
      <c r="F944" s="40"/>
      <c r="G944" s="40"/>
      <c r="H944" s="40"/>
      <c r="I944" s="41"/>
      <c r="K944" s="42"/>
      <c r="L944" s="42"/>
      <c r="M944" s="41"/>
      <c r="N944" s="43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  <c r="AD944" s="41"/>
      <c r="AE944" s="41"/>
      <c r="AF944" s="41"/>
      <c r="AG944" s="41"/>
      <c r="AH944" s="41"/>
      <c r="AJ944" s="41"/>
      <c r="AM944" s="44"/>
    </row>
    <row r="945">
      <c r="B945" s="39"/>
      <c r="C945" s="40"/>
      <c r="E945" s="40"/>
      <c r="F945" s="40"/>
      <c r="G945" s="40"/>
      <c r="H945" s="40"/>
      <c r="I945" s="41"/>
      <c r="K945" s="42"/>
      <c r="L945" s="42"/>
      <c r="M945" s="41"/>
      <c r="N945" s="43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  <c r="AD945" s="41"/>
      <c r="AE945" s="41"/>
      <c r="AF945" s="41"/>
      <c r="AG945" s="41"/>
      <c r="AH945" s="41"/>
      <c r="AJ945" s="41"/>
      <c r="AM945" s="44"/>
    </row>
    <row r="946">
      <c r="B946" s="39"/>
      <c r="C946" s="40"/>
      <c r="E946" s="40"/>
      <c r="F946" s="40"/>
      <c r="G946" s="40"/>
      <c r="H946" s="40"/>
      <c r="I946" s="41"/>
      <c r="K946" s="42"/>
      <c r="L946" s="42"/>
      <c r="M946" s="41"/>
      <c r="N946" s="43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  <c r="AD946" s="41"/>
      <c r="AE946" s="41"/>
      <c r="AF946" s="41"/>
      <c r="AG946" s="41"/>
      <c r="AH946" s="41"/>
      <c r="AJ946" s="41"/>
      <c r="AM946" s="44"/>
    </row>
    <row r="947">
      <c r="B947" s="39"/>
      <c r="C947" s="40"/>
      <c r="E947" s="40"/>
      <c r="F947" s="40"/>
      <c r="G947" s="40"/>
      <c r="H947" s="40"/>
      <c r="I947" s="41"/>
      <c r="K947" s="42"/>
      <c r="L947" s="42"/>
      <c r="M947" s="41"/>
      <c r="N947" s="43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  <c r="AD947" s="41"/>
      <c r="AE947" s="41"/>
      <c r="AF947" s="41"/>
      <c r="AG947" s="41"/>
      <c r="AH947" s="41"/>
      <c r="AJ947" s="41"/>
      <c r="AM947" s="44"/>
    </row>
    <row r="948">
      <c r="B948" s="39"/>
      <c r="C948" s="40"/>
      <c r="E948" s="40"/>
      <c r="F948" s="40"/>
      <c r="G948" s="40"/>
      <c r="H948" s="40"/>
      <c r="I948" s="41"/>
      <c r="K948" s="42"/>
      <c r="L948" s="42"/>
      <c r="M948" s="41"/>
      <c r="N948" s="43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  <c r="AD948" s="41"/>
      <c r="AE948" s="41"/>
      <c r="AF948" s="41"/>
      <c r="AG948" s="41"/>
      <c r="AH948" s="41"/>
      <c r="AJ948" s="41"/>
      <c r="AM948" s="44"/>
    </row>
    <row r="949">
      <c r="B949" s="39"/>
      <c r="C949" s="40"/>
      <c r="E949" s="40"/>
      <c r="F949" s="40"/>
      <c r="G949" s="40"/>
      <c r="H949" s="40"/>
      <c r="I949" s="41"/>
      <c r="K949" s="42"/>
      <c r="L949" s="42"/>
      <c r="M949" s="41"/>
      <c r="N949" s="43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  <c r="AD949" s="41"/>
      <c r="AE949" s="41"/>
      <c r="AF949" s="41"/>
      <c r="AG949" s="41"/>
      <c r="AH949" s="41"/>
      <c r="AJ949" s="41"/>
      <c r="AM949" s="44"/>
    </row>
    <row r="950">
      <c r="B950" s="39"/>
      <c r="C950" s="40"/>
      <c r="E950" s="40"/>
      <c r="F950" s="40"/>
      <c r="G950" s="40"/>
      <c r="H950" s="40"/>
      <c r="I950" s="41"/>
      <c r="K950" s="42"/>
      <c r="L950" s="42"/>
      <c r="M950" s="41"/>
      <c r="N950" s="43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  <c r="AD950" s="41"/>
      <c r="AE950" s="41"/>
      <c r="AF950" s="41"/>
      <c r="AG950" s="41"/>
      <c r="AH950" s="41"/>
      <c r="AJ950" s="41"/>
      <c r="AM950" s="44"/>
    </row>
    <row r="951">
      <c r="B951" s="39"/>
      <c r="C951" s="40"/>
      <c r="E951" s="40"/>
      <c r="F951" s="40"/>
      <c r="G951" s="40"/>
      <c r="H951" s="40"/>
      <c r="I951" s="41"/>
      <c r="K951" s="42"/>
      <c r="L951" s="42"/>
      <c r="M951" s="41"/>
      <c r="N951" s="43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  <c r="AD951" s="41"/>
      <c r="AE951" s="41"/>
      <c r="AF951" s="41"/>
      <c r="AG951" s="41"/>
      <c r="AH951" s="41"/>
      <c r="AJ951" s="41"/>
      <c r="AM951" s="44"/>
    </row>
    <row r="952">
      <c r="B952" s="39"/>
      <c r="C952" s="40"/>
      <c r="E952" s="40"/>
      <c r="F952" s="40"/>
      <c r="G952" s="40"/>
      <c r="H952" s="40"/>
      <c r="I952" s="41"/>
      <c r="K952" s="42"/>
      <c r="L952" s="42"/>
      <c r="M952" s="41"/>
      <c r="N952" s="43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  <c r="AD952" s="41"/>
      <c r="AE952" s="41"/>
      <c r="AF952" s="41"/>
      <c r="AG952" s="41"/>
      <c r="AH952" s="41"/>
      <c r="AJ952" s="41"/>
      <c r="AM952" s="44"/>
    </row>
    <row r="953">
      <c r="B953" s="39"/>
      <c r="C953" s="40"/>
      <c r="E953" s="40"/>
      <c r="F953" s="40"/>
      <c r="G953" s="40"/>
      <c r="H953" s="40"/>
      <c r="I953" s="41"/>
      <c r="K953" s="42"/>
      <c r="L953" s="42"/>
      <c r="M953" s="41"/>
      <c r="N953" s="43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  <c r="AD953" s="41"/>
      <c r="AE953" s="41"/>
      <c r="AF953" s="41"/>
      <c r="AG953" s="41"/>
      <c r="AH953" s="41"/>
      <c r="AJ953" s="41"/>
      <c r="AM953" s="44"/>
    </row>
    <row r="954">
      <c r="B954" s="39"/>
      <c r="C954" s="40"/>
      <c r="E954" s="40"/>
      <c r="F954" s="40"/>
      <c r="G954" s="40"/>
      <c r="H954" s="40"/>
      <c r="I954" s="41"/>
      <c r="K954" s="42"/>
      <c r="L954" s="42"/>
      <c r="M954" s="41"/>
      <c r="N954" s="43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  <c r="AD954" s="41"/>
      <c r="AE954" s="41"/>
      <c r="AF954" s="41"/>
      <c r="AG954" s="41"/>
      <c r="AH954" s="41"/>
      <c r="AJ954" s="41"/>
      <c r="AM954" s="44"/>
    </row>
    <row r="955">
      <c r="B955" s="39"/>
      <c r="C955" s="40"/>
      <c r="E955" s="40"/>
      <c r="F955" s="40"/>
      <c r="G955" s="40"/>
      <c r="H955" s="40"/>
      <c r="I955" s="41"/>
      <c r="K955" s="42"/>
      <c r="L955" s="42"/>
      <c r="M955" s="41"/>
      <c r="N955" s="43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  <c r="AD955" s="41"/>
      <c r="AE955" s="41"/>
      <c r="AF955" s="41"/>
      <c r="AG955" s="41"/>
      <c r="AH955" s="41"/>
      <c r="AJ955" s="41"/>
      <c r="AM955" s="44"/>
    </row>
    <row r="956">
      <c r="B956" s="39"/>
      <c r="C956" s="40"/>
      <c r="E956" s="40"/>
      <c r="F956" s="40"/>
      <c r="G956" s="40"/>
      <c r="H956" s="40"/>
      <c r="I956" s="41"/>
      <c r="K956" s="42"/>
      <c r="L956" s="42"/>
      <c r="M956" s="41"/>
      <c r="N956" s="43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  <c r="AD956" s="41"/>
      <c r="AE956" s="41"/>
      <c r="AF956" s="41"/>
      <c r="AG956" s="41"/>
      <c r="AH956" s="41"/>
      <c r="AJ956" s="41"/>
      <c r="AM956" s="44"/>
    </row>
    <row r="957">
      <c r="B957" s="39"/>
      <c r="C957" s="40"/>
      <c r="E957" s="40"/>
      <c r="F957" s="40"/>
      <c r="G957" s="40"/>
      <c r="H957" s="40"/>
      <c r="I957" s="41"/>
      <c r="K957" s="42"/>
      <c r="L957" s="42"/>
      <c r="M957" s="41"/>
      <c r="N957" s="43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  <c r="AD957" s="41"/>
      <c r="AE957" s="41"/>
      <c r="AF957" s="41"/>
      <c r="AG957" s="41"/>
      <c r="AH957" s="41"/>
      <c r="AJ957" s="41"/>
      <c r="AM957" s="44"/>
    </row>
    <row r="958">
      <c r="B958" s="39"/>
      <c r="C958" s="40"/>
      <c r="E958" s="40"/>
      <c r="F958" s="40"/>
      <c r="G958" s="40"/>
      <c r="H958" s="40"/>
      <c r="I958" s="41"/>
      <c r="K958" s="42"/>
      <c r="L958" s="42"/>
      <c r="M958" s="41"/>
      <c r="N958" s="43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  <c r="AD958" s="41"/>
      <c r="AE958" s="41"/>
      <c r="AF958" s="41"/>
      <c r="AG958" s="41"/>
      <c r="AH958" s="41"/>
      <c r="AJ958" s="41"/>
      <c r="AM958" s="44"/>
    </row>
    <row r="959">
      <c r="B959" s="39"/>
      <c r="C959" s="40"/>
      <c r="E959" s="40"/>
      <c r="F959" s="40"/>
      <c r="G959" s="40"/>
      <c r="H959" s="40"/>
      <c r="I959" s="41"/>
      <c r="K959" s="42"/>
      <c r="L959" s="42"/>
      <c r="M959" s="41"/>
      <c r="N959" s="43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  <c r="AD959" s="41"/>
      <c r="AE959" s="41"/>
      <c r="AF959" s="41"/>
      <c r="AG959" s="41"/>
      <c r="AH959" s="41"/>
      <c r="AJ959" s="41"/>
      <c r="AM959" s="44"/>
    </row>
    <row r="960">
      <c r="B960" s="39"/>
      <c r="C960" s="40"/>
      <c r="E960" s="40"/>
      <c r="F960" s="40"/>
      <c r="G960" s="40"/>
      <c r="H960" s="40"/>
      <c r="I960" s="41"/>
      <c r="K960" s="42"/>
      <c r="L960" s="42"/>
      <c r="M960" s="41"/>
      <c r="N960" s="43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  <c r="AE960" s="41"/>
      <c r="AF960" s="41"/>
      <c r="AG960" s="41"/>
      <c r="AH960" s="41"/>
      <c r="AJ960" s="41"/>
      <c r="AM960" s="44"/>
    </row>
    <row r="961">
      <c r="B961" s="39"/>
      <c r="C961" s="40"/>
      <c r="E961" s="40"/>
      <c r="F961" s="40"/>
      <c r="G961" s="40"/>
      <c r="H961" s="40"/>
      <c r="I961" s="41"/>
      <c r="K961" s="42"/>
      <c r="L961" s="42"/>
      <c r="M961" s="41"/>
      <c r="N961" s="43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  <c r="AD961" s="41"/>
      <c r="AE961" s="41"/>
      <c r="AF961" s="41"/>
      <c r="AG961" s="41"/>
      <c r="AH961" s="41"/>
      <c r="AJ961" s="41"/>
      <c r="AM961" s="44"/>
    </row>
    <row r="962">
      <c r="B962" s="39"/>
      <c r="C962" s="40"/>
      <c r="E962" s="40"/>
      <c r="F962" s="40"/>
      <c r="G962" s="40"/>
      <c r="H962" s="40"/>
      <c r="I962" s="41"/>
      <c r="K962" s="42"/>
      <c r="L962" s="42"/>
      <c r="M962" s="41"/>
      <c r="N962" s="43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  <c r="AD962" s="41"/>
      <c r="AE962" s="41"/>
      <c r="AF962" s="41"/>
      <c r="AG962" s="41"/>
      <c r="AH962" s="41"/>
      <c r="AJ962" s="41"/>
      <c r="AM962" s="44"/>
    </row>
    <row r="963">
      <c r="B963" s="39"/>
      <c r="C963" s="40"/>
      <c r="E963" s="40"/>
      <c r="F963" s="40"/>
      <c r="G963" s="40"/>
      <c r="H963" s="40"/>
      <c r="I963" s="41"/>
      <c r="K963" s="42"/>
      <c r="L963" s="42"/>
      <c r="M963" s="41"/>
      <c r="N963" s="43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  <c r="AD963" s="41"/>
      <c r="AE963" s="41"/>
      <c r="AF963" s="41"/>
      <c r="AG963" s="41"/>
      <c r="AH963" s="41"/>
      <c r="AJ963" s="41"/>
      <c r="AM963" s="44"/>
    </row>
    <row r="964">
      <c r="B964" s="39"/>
      <c r="C964" s="40"/>
      <c r="E964" s="40"/>
      <c r="F964" s="40"/>
      <c r="G964" s="40"/>
      <c r="H964" s="40"/>
      <c r="I964" s="41"/>
      <c r="K964" s="42"/>
      <c r="L964" s="42"/>
      <c r="M964" s="41"/>
      <c r="N964" s="43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  <c r="AD964" s="41"/>
      <c r="AE964" s="41"/>
      <c r="AF964" s="41"/>
      <c r="AG964" s="41"/>
      <c r="AH964" s="41"/>
      <c r="AJ964" s="41"/>
      <c r="AM964" s="44"/>
    </row>
    <row r="965">
      <c r="B965" s="39"/>
      <c r="C965" s="40"/>
      <c r="E965" s="40"/>
      <c r="F965" s="40"/>
      <c r="G965" s="40"/>
      <c r="H965" s="40"/>
      <c r="I965" s="41"/>
      <c r="K965" s="42"/>
      <c r="L965" s="42"/>
      <c r="M965" s="41"/>
      <c r="N965" s="43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  <c r="AD965" s="41"/>
      <c r="AE965" s="41"/>
      <c r="AF965" s="41"/>
      <c r="AG965" s="41"/>
      <c r="AH965" s="41"/>
      <c r="AJ965" s="41"/>
      <c r="AM965" s="44"/>
    </row>
    <row r="966">
      <c r="B966" s="39"/>
      <c r="C966" s="40"/>
      <c r="E966" s="40"/>
      <c r="F966" s="40"/>
      <c r="G966" s="40"/>
      <c r="H966" s="40"/>
      <c r="I966" s="41"/>
      <c r="K966" s="42"/>
      <c r="L966" s="42"/>
      <c r="M966" s="41"/>
      <c r="N966" s="43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  <c r="AD966" s="41"/>
      <c r="AE966" s="41"/>
      <c r="AF966" s="41"/>
      <c r="AG966" s="41"/>
      <c r="AH966" s="41"/>
      <c r="AJ966" s="41"/>
      <c r="AM966" s="44"/>
    </row>
    <row r="967">
      <c r="B967" s="39"/>
      <c r="C967" s="40"/>
      <c r="E967" s="40"/>
      <c r="F967" s="40"/>
      <c r="G967" s="40"/>
      <c r="H967" s="40"/>
      <c r="I967" s="41"/>
      <c r="K967" s="42"/>
      <c r="L967" s="42"/>
      <c r="M967" s="41"/>
      <c r="N967" s="43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  <c r="AD967" s="41"/>
      <c r="AE967" s="41"/>
      <c r="AF967" s="41"/>
      <c r="AG967" s="41"/>
      <c r="AH967" s="41"/>
      <c r="AJ967" s="41"/>
      <c r="AM967" s="44"/>
    </row>
    <row r="968">
      <c r="B968" s="39"/>
      <c r="C968" s="40"/>
      <c r="E968" s="40"/>
      <c r="F968" s="40"/>
      <c r="G968" s="40"/>
      <c r="H968" s="40"/>
      <c r="I968" s="41"/>
      <c r="K968" s="42"/>
      <c r="L968" s="42"/>
      <c r="M968" s="41"/>
      <c r="N968" s="43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  <c r="AD968" s="41"/>
      <c r="AE968" s="41"/>
      <c r="AF968" s="41"/>
      <c r="AG968" s="41"/>
      <c r="AH968" s="41"/>
      <c r="AJ968" s="41"/>
      <c r="AM968" s="44"/>
    </row>
    <row r="969">
      <c r="B969" s="39"/>
      <c r="C969" s="40"/>
      <c r="E969" s="40"/>
      <c r="F969" s="40"/>
      <c r="G969" s="40"/>
      <c r="H969" s="40"/>
      <c r="I969" s="41"/>
      <c r="K969" s="42"/>
      <c r="L969" s="42"/>
      <c r="M969" s="41"/>
      <c r="N969" s="43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  <c r="AC969" s="41"/>
      <c r="AD969" s="41"/>
      <c r="AE969" s="41"/>
      <c r="AF969" s="41"/>
      <c r="AG969" s="41"/>
      <c r="AH969" s="41"/>
      <c r="AJ969" s="41"/>
      <c r="AM969" s="44"/>
    </row>
    <row r="970">
      <c r="B970" s="39"/>
      <c r="C970" s="40"/>
      <c r="E970" s="40"/>
      <c r="F970" s="40"/>
      <c r="G970" s="40"/>
      <c r="H970" s="40"/>
      <c r="I970" s="41"/>
      <c r="K970" s="42"/>
      <c r="L970" s="42"/>
      <c r="M970" s="41"/>
      <c r="N970" s="43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  <c r="AD970" s="41"/>
      <c r="AE970" s="41"/>
      <c r="AF970" s="41"/>
      <c r="AG970" s="41"/>
      <c r="AH970" s="41"/>
      <c r="AJ970" s="41"/>
      <c r="AM970" s="44"/>
    </row>
    <row r="971">
      <c r="B971" s="39"/>
      <c r="C971" s="40"/>
      <c r="E971" s="40"/>
      <c r="F971" s="40"/>
      <c r="G971" s="40"/>
      <c r="H971" s="40"/>
      <c r="I971" s="41"/>
      <c r="K971" s="42"/>
      <c r="L971" s="42"/>
      <c r="M971" s="41"/>
      <c r="N971" s="43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  <c r="AC971" s="41"/>
      <c r="AD971" s="41"/>
      <c r="AE971" s="41"/>
      <c r="AF971" s="41"/>
      <c r="AG971" s="41"/>
      <c r="AH971" s="41"/>
      <c r="AJ971" s="41"/>
      <c r="AM971" s="44"/>
    </row>
    <row r="972">
      <c r="B972" s="39"/>
      <c r="C972" s="40"/>
      <c r="E972" s="40"/>
      <c r="F972" s="40"/>
      <c r="G972" s="40"/>
      <c r="H972" s="40"/>
      <c r="I972" s="41"/>
      <c r="K972" s="42"/>
      <c r="L972" s="42"/>
      <c r="M972" s="41"/>
      <c r="N972" s="43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41"/>
      <c r="AD972" s="41"/>
      <c r="AE972" s="41"/>
      <c r="AF972" s="41"/>
      <c r="AG972" s="41"/>
      <c r="AH972" s="41"/>
      <c r="AJ972" s="41"/>
      <c r="AM972" s="44"/>
    </row>
    <row r="973">
      <c r="B973" s="39"/>
      <c r="C973" s="40"/>
      <c r="E973" s="40"/>
      <c r="F973" s="40"/>
      <c r="G973" s="40"/>
      <c r="H973" s="40"/>
      <c r="I973" s="41"/>
      <c r="K973" s="42"/>
      <c r="L973" s="42"/>
      <c r="M973" s="41"/>
      <c r="N973" s="43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  <c r="AC973" s="41"/>
      <c r="AD973" s="41"/>
      <c r="AE973" s="41"/>
      <c r="AF973" s="41"/>
      <c r="AG973" s="41"/>
      <c r="AH973" s="41"/>
      <c r="AJ973" s="41"/>
      <c r="AM973" s="44"/>
    </row>
    <row r="974">
      <c r="B974" s="39"/>
      <c r="C974" s="40"/>
      <c r="E974" s="40"/>
      <c r="F974" s="40"/>
      <c r="G974" s="40"/>
      <c r="H974" s="40"/>
      <c r="I974" s="41"/>
      <c r="K974" s="42"/>
      <c r="L974" s="42"/>
      <c r="M974" s="41"/>
      <c r="N974" s="43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41"/>
      <c r="AD974" s="41"/>
      <c r="AE974" s="41"/>
      <c r="AF974" s="41"/>
      <c r="AG974" s="41"/>
      <c r="AH974" s="41"/>
      <c r="AJ974" s="41"/>
      <c r="AM974" s="44"/>
    </row>
    <row r="975">
      <c r="B975" s="39"/>
      <c r="C975" s="40"/>
      <c r="E975" s="40"/>
      <c r="F975" s="40"/>
      <c r="G975" s="40"/>
      <c r="H975" s="40"/>
      <c r="I975" s="41"/>
      <c r="K975" s="42"/>
      <c r="L975" s="42"/>
      <c r="M975" s="41"/>
      <c r="N975" s="43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  <c r="AD975" s="41"/>
      <c r="AE975" s="41"/>
      <c r="AF975" s="41"/>
      <c r="AG975" s="41"/>
      <c r="AH975" s="41"/>
      <c r="AJ975" s="41"/>
      <c r="AM975" s="44"/>
    </row>
    <row r="976">
      <c r="B976" s="39"/>
      <c r="C976" s="40"/>
      <c r="E976" s="40"/>
      <c r="F976" s="40"/>
      <c r="G976" s="40"/>
      <c r="H976" s="40"/>
      <c r="I976" s="41"/>
      <c r="K976" s="42"/>
      <c r="L976" s="42"/>
      <c r="M976" s="41"/>
      <c r="N976" s="43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  <c r="AC976" s="41"/>
      <c r="AD976" s="41"/>
      <c r="AE976" s="41"/>
      <c r="AF976" s="41"/>
      <c r="AG976" s="41"/>
      <c r="AH976" s="41"/>
      <c r="AJ976" s="41"/>
      <c r="AM976" s="44"/>
    </row>
    <row r="977">
      <c r="B977" s="39"/>
      <c r="C977" s="40"/>
      <c r="E977" s="40"/>
      <c r="F977" s="40"/>
      <c r="G977" s="40"/>
      <c r="H977" s="40"/>
      <c r="I977" s="41"/>
      <c r="K977" s="42"/>
      <c r="L977" s="42"/>
      <c r="M977" s="41"/>
      <c r="N977" s="43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  <c r="AC977" s="41"/>
      <c r="AD977" s="41"/>
      <c r="AE977" s="41"/>
      <c r="AF977" s="41"/>
      <c r="AG977" s="41"/>
      <c r="AH977" s="41"/>
      <c r="AJ977" s="41"/>
      <c r="AM977" s="44"/>
    </row>
    <row r="978">
      <c r="B978" s="39"/>
      <c r="C978" s="40"/>
      <c r="E978" s="40"/>
      <c r="F978" s="40"/>
      <c r="G978" s="40"/>
      <c r="H978" s="40"/>
      <c r="I978" s="41"/>
      <c r="K978" s="42"/>
      <c r="L978" s="42"/>
      <c r="M978" s="41"/>
      <c r="N978" s="43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  <c r="AC978" s="41"/>
      <c r="AD978" s="41"/>
      <c r="AE978" s="41"/>
      <c r="AF978" s="41"/>
      <c r="AG978" s="41"/>
      <c r="AH978" s="41"/>
      <c r="AJ978" s="41"/>
      <c r="AM978" s="44"/>
    </row>
    <row r="979">
      <c r="B979" s="39"/>
      <c r="C979" s="40"/>
      <c r="E979" s="40"/>
      <c r="F979" s="40"/>
      <c r="G979" s="40"/>
      <c r="H979" s="40"/>
      <c r="I979" s="41"/>
      <c r="K979" s="42"/>
      <c r="L979" s="42"/>
      <c r="M979" s="41"/>
      <c r="N979" s="43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  <c r="AC979" s="41"/>
      <c r="AD979" s="41"/>
      <c r="AE979" s="41"/>
      <c r="AF979" s="41"/>
      <c r="AG979" s="41"/>
      <c r="AH979" s="41"/>
      <c r="AJ979" s="41"/>
      <c r="AM979" s="44"/>
    </row>
    <row r="980">
      <c r="B980" s="39"/>
      <c r="C980" s="40"/>
      <c r="E980" s="40"/>
      <c r="F980" s="40"/>
      <c r="G980" s="40"/>
      <c r="H980" s="40"/>
      <c r="I980" s="41"/>
      <c r="K980" s="42"/>
      <c r="L980" s="42"/>
      <c r="M980" s="41"/>
      <c r="N980" s="43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  <c r="AC980" s="41"/>
      <c r="AD980" s="41"/>
      <c r="AE980" s="41"/>
      <c r="AF980" s="41"/>
      <c r="AG980" s="41"/>
      <c r="AH980" s="41"/>
      <c r="AJ980" s="41"/>
      <c r="AM980" s="44"/>
    </row>
    <row r="981">
      <c r="B981" s="39"/>
      <c r="C981" s="40"/>
      <c r="E981" s="40"/>
      <c r="F981" s="40"/>
      <c r="G981" s="40"/>
      <c r="H981" s="40"/>
      <c r="I981" s="41"/>
      <c r="K981" s="42"/>
      <c r="L981" s="42"/>
      <c r="M981" s="41"/>
      <c r="N981" s="43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  <c r="AC981" s="41"/>
      <c r="AD981" s="41"/>
      <c r="AE981" s="41"/>
      <c r="AF981" s="41"/>
      <c r="AG981" s="41"/>
      <c r="AH981" s="41"/>
      <c r="AJ981" s="41"/>
      <c r="AM981" s="44"/>
    </row>
    <row r="982">
      <c r="B982" s="39"/>
      <c r="C982" s="40"/>
      <c r="E982" s="40"/>
      <c r="F982" s="40"/>
      <c r="G982" s="40"/>
      <c r="H982" s="40"/>
      <c r="I982" s="41"/>
      <c r="K982" s="42"/>
      <c r="L982" s="42"/>
      <c r="M982" s="41"/>
      <c r="N982" s="43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  <c r="AC982" s="41"/>
      <c r="AD982" s="41"/>
      <c r="AE982" s="41"/>
      <c r="AF982" s="41"/>
      <c r="AG982" s="41"/>
      <c r="AH982" s="41"/>
      <c r="AJ982" s="41"/>
      <c r="AM982" s="44"/>
    </row>
    <row r="983">
      <c r="B983" s="39"/>
      <c r="C983" s="40"/>
      <c r="E983" s="40"/>
      <c r="F983" s="40"/>
      <c r="G983" s="40"/>
      <c r="H983" s="40"/>
      <c r="I983" s="41"/>
      <c r="K983" s="42"/>
      <c r="L983" s="42"/>
      <c r="M983" s="41"/>
      <c r="N983" s="43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  <c r="AC983" s="41"/>
      <c r="AD983" s="41"/>
      <c r="AE983" s="41"/>
      <c r="AF983" s="41"/>
      <c r="AG983" s="41"/>
      <c r="AH983" s="41"/>
      <c r="AJ983" s="41"/>
      <c r="AM983" s="44"/>
    </row>
    <row r="984">
      <c r="B984" s="39"/>
      <c r="C984" s="40"/>
      <c r="E984" s="40"/>
      <c r="F984" s="40"/>
      <c r="G984" s="40"/>
      <c r="H984" s="40"/>
      <c r="I984" s="41"/>
      <c r="K984" s="42"/>
      <c r="L984" s="42"/>
      <c r="M984" s="41"/>
      <c r="N984" s="43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  <c r="AC984" s="41"/>
      <c r="AD984" s="41"/>
      <c r="AE984" s="41"/>
      <c r="AF984" s="41"/>
      <c r="AG984" s="41"/>
      <c r="AH984" s="41"/>
      <c r="AJ984" s="41"/>
      <c r="AM984" s="44"/>
    </row>
    <row r="985">
      <c r="B985" s="39"/>
      <c r="C985" s="40"/>
      <c r="E985" s="40"/>
      <c r="F985" s="40"/>
      <c r="G985" s="40"/>
      <c r="H985" s="40"/>
      <c r="I985" s="41"/>
      <c r="K985" s="42"/>
      <c r="L985" s="42"/>
      <c r="M985" s="41"/>
      <c r="N985" s="43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  <c r="AC985" s="41"/>
      <c r="AD985" s="41"/>
      <c r="AE985" s="41"/>
      <c r="AF985" s="41"/>
      <c r="AG985" s="41"/>
      <c r="AH985" s="41"/>
      <c r="AJ985" s="41"/>
      <c r="AM985" s="44"/>
    </row>
    <row r="986">
      <c r="B986" s="39"/>
      <c r="C986" s="40"/>
      <c r="E986" s="40"/>
      <c r="F986" s="40"/>
      <c r="G986" s="40"/>
      <c r="H986" s="40"/>
      <c r="I986" s="41"/>
      <c r="K986" s="42"/>
      <c r="L986" s="42"/>
      <c r="M986" s="41"/>
      <c r="N986" s="43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  <c r="AC986" s="41"/>
      <c r="AD986" s="41"/>
      <c r="AE986" s="41"/>
      <c r="AF986" s="41"/>
      <c r="AG986" s="41"/>
      <c r="AH986" s="41"/>
      <c r="AJ986" s="41"/>
      <c r="AM986" s="44"/>
    </row>
    <row r="987">
      <c r="B987" s="39"/>
      <c r="C987" s="40"/>
      <c r="E987" s="40"/>
      <c r="F987" s="40"/>
      <c r="G987" s="40"/>
      <c r="H987" s="40"/>
      <c r="I987" s="41"/>
      <c r="K987" s="42"/>
      <c r="L987" s="42"/>
      <c r="M987" s="41"/>
      <c r="N987" s="43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  <c r="AC987" s="41"/>
      <c r="AD987" s="41"/>
      <c r="AE987" s="41"/>
      <c r="AF987" s="41"/>
      <c r="AG987" s="41"/>
      <c r="AH987" s="41"/>
      <c r="AJ987" s="41"/>
      <c r="AM987" s="44"/>
    </row>
    <row r="988">
      <c r="B988" s="39"/>
      <c r="C988" s="40"/>
      <c r="E988" s="40"/>
      <c r="F988" s="40"/>
      <c r="G988" s="40"/>
      <c r="H988" s="40"/>
      <c r="I988" s="41"/>
      <c r="K988" s="42"/>
      <c r="L988" s="42"/>
      <c r="M988" s="41"/>
      <c r="N988" s="43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  <c r="AD988" s="41"/>
      <c r="AE988" s="41"/>
      <c r="AF988" s="41"/>
      <c r="AG988" s="41"/>
      <c r="AH988" s="41"/>
      <c r="AJ988" s="41"/>
      <c r="AM988" s="44"/>
    </row>
    <row r="989">
      <c r="B989" s="39"/>
      <c r="C989" s="40"/>
      <c r="E989" s="40"/>
      <c r="F989" s="40"/>
      <c r="G989" s="40"/>
      <c r="H989" s="40"/>
      <c r="I989" s="41"/>
      <c r="K989" s="42"/>
      <c r="L989" s="42"/>
      <c r="M989" s="41"/>
      <c r="N989" s="43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  <c r="AC989" s="41"/>
      <c r="AD989" s="41"/>
      <c r="AE989" s="41"/>
      <c r="AF989" s="41"/>
      <c r="AG989" s="41"/>
      <c r="AH989" s="41"/>
      <c r="AJ989" s="41"/>
      <c r="AM989" s="44"/>
    </row>
    <row r="990">
      <c r="B990" s="39"/>
      <c r="C990" s="40"/>
      <c r="E990" s="40"/>
      <c r="F990" s="40"/>
      <c r="G990" s="40"/>
      <c r="H990" s="40"/>
      <c r="I990" s="41"/>
      <c r="K990" s="42"/>
      <c r="L990" s="42"/>
      <c r="M990" s="41"/>
      <c r="N990" s="43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  <c r="AC990" s="41"/>
      <c r="AD990" s="41"/>
      <c r="AE990" s="41"/>
      <c r="AF990" s="41"/>
      <c r="AG990" s="41"/>
      <c r="AH990" s="41"/>
      <c r="AJ990" s="41"/>
      <c r="AM990" s="44"/>
    </row>
    <row r="991">
      <c r="B991" s="39"/>
      <c r="C991" s="40"/>
      <c r="E991" s="40"/>
      <c r="F991" s="40"/>
      <c r="G991" s="40"/>
      <c r="H991" s="40"/>
      <c r="I991" s="41"/>
      <c r="K991" s="42"/>
      <c r="L991" s="42"/>
      <c r="M991" s="41"/>
      <c r="N991" s="43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  <c r="AC991" s="41"/>
      <c r="AD991" s="41"/>
      <c r="AE991" s="41"/>
      <c r="AF991" s="41"/>
      <c r="AG991" s="41"/>
      <c r="AH991" s="41"/>
      <c r="AJ991" s="41"/>
      <c r="AM991" s="44"/>
    </row>
    <row r="992">
      <c r="B992" s="39"/>
      <c r="C992" s="40"/>
      <c r="E992" s="40"/>
      <c r="F992" s="40"/>
      <c r="G992" s="40"/>
      <c r="H992" s="40"/>
      <c r="I992" s="41"/>
      <c r="K992" s="42"/>
      <c r="L992" s="42"/>
      <c r="M992" s="41"/>
      <c r="N992" s="43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  <c r="AC992" s="41"/>
      <c r="AD992" s="41"/>
      <c r="AE992" s="41"/>
      <c r="AF992" s="41"/>
      <c r="AG992" s="41"/>
      <c r="AH992" s="41"/>
      <c r="AJ992" s="41"/>
      <c r="AM992" s="44"/>
    </row>
    <row r="993">
      <c r="B993" s="39"/>
      <c r="C993" s="40"/>
      <c r="E993" s="40"/>
      <c r="F993" s="40"/>
      <c r="G993" s="40"/>
      <c r="H993" s="40"/>
      <c r="I993" s="41"/>
      <c r="K993" s="42"/>
      <c r="L993" s="42"/>
      <c r="M993" s="41"/>
      <c r="N993" s="43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  <c r="AC993" s="41"/>
      <c r="AD993" s="41"/>
      <c r="AE993" s="41"/>
      <c r="AF993" s="41"/>
      <c r="AG993" s="41"/>
      <c r="AH993" s="41"/>
      <c r="AJ993" s="41"/>
      <c r="AM993" s="44"/>
    </row>
    <row r="994">
      <c r="B994" s="39"/>
      <c r="C994" s="40"/>
      <c r="E994" s="40"/>
      <c r="F994" s="40"/>
      <c r="G994" s="40"/>
      <c r="H994" s="40"/>
      <c r="I994" s="41"/>
      <c r="K994" s="42"/>
      <c r="L994" s="42"/>
      <c r="M994" s="41"/>
      <c r="N994" s="43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  <c r="AC994" s="41"/>
      <c r="AD994" s="41"/>
      <c r="AE994" s="41"/>
      <c r="AF994" s="41"/>
      <c r="AG994" s="41"/>
      <c r="AH994" s="41"/>
      <c r="AJ994" s="41"/>
      <c r="AM994" s="44"/>
    </row>
    <row r="995">
      <c r="B995" s="39"/>
      <c r="C995" s="40"/>
      <c r="E995" s="40"/>
      <c r="F995" s="40"/>
      <c r="G995" s="40"/>
      <c r="H995" s="40"/>
      <c r="I995" s="41"/>
      <c r="K995" s="42"/>
      <c r="L995" s="42"/>
      <c r="M995" s="41"/>
      <c r="N995" s="43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  <c r="AC995" s="41"/>
      <c r="AD995" s="41"/>
      <c r="AE995" s="41"/>
      <c r="AF995" s="41"/>
      <c r="AG995" s="41"/>
      <c r="AH995" s="41"/>
      <c r="AJ995" s="41"/>
      <c r="AM995" s="44"/>
    </row>
    <row r="996">
      <c r="B996" s="39"/>
      <c r="C996" s="40"/>
      <c r="E996" s="40"/>
      <c r="F996" s="40"/>
      <c r="G996" s="40"/>
      <c r="H996" s="40"/>
      <c r="I996" s="41"/>
      <c r="K996" s="42"/>
      <c r="L996" s="42"/>
      <c r="M996" s="41"/>
      <c r="N996" s="43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  <c r="AC996" s="41"/>
      <c r="AD996" s="41"/>
      <c r="AE996" s="41"/>
      <c r="AF996" s="41"/>
      <c r="AG996" s="41"/>
      <c r="AH996" s="41"/>
      <c r="AJ996" s="41"/>
      <c r="AM996" s="44"/>
    </row>
    <row r="997">
      <c r="B997" s="39"/>
      <c r="C997" s="40"/>
      <c r="E997" s="40"/>
      <c r="F997" s="40"/>
      <c r="G997" s="40"/>
      <c r="H997" s="40"/>
      <c r="I997" s="41"/>
      <c r="K997" s="42"/>
      <c r="L997" s="42"/>
      <c r="M997" s="41"/>
      <c r="N997" s="43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  <c r="AC997" s="41"/>
      <c r="AD997" s="41"/>
      <c r="AE997" s="41"/>
      <c r="AF997" s="41"/>
      <c r="AG997" s="41"/>
      <c r="AH997" s="41"/>
      <c r="AJ997" s="41"/>
      <c r="AM997" s="44"/>
    </row>
    <row r="998">
      <c r="B998" s="39"/>
      <c r="C998" s="40"/>
      <c r="E998" s="40"/>
      <c r="F998" s="40"/>
      <c r="G998" s="40"/>
      <c r="H998" s="40"/>
      <c r="I998" s="41"/>
      <c r="K998" s="42"/>
      <c r="L998" s="42"/>
      <c r="M998" s="41"/>
      <c r="N998" s="43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  <c r="AC998" s="41"/>
      <c r="AD998" s="41"/>
      <c r="AE998" s="41"/>
      <c r="AF998" s="41"/>
      <c r="AG998" s="41"/>
      <c r="AH998" s="41"/>
      <c r="AJ998" s="41"/>
      <c r="AM998" s="44"/>
    </row>
    <row r="999">
      <c r="B999" s="39"/>
      <c r="C999" s="40"/>
      <c r="E999" s="40"/>
      <c r="F999" s="40"/>
      <c r="G999" s="40"/>
      <c r="H999" s="40"/>
      <c r="I999" s="41"/>
      <c r="K999" s="42"/>
      <c r="L999" s="42"/>
      <c r="M999" s="41"/>
      <c r="N999" s="43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  <c r="AC999" s="41"/>
      <c r="AD999" s="41"/>
      <c r="AE999" s="41"/>
      <c r="AF999" s="41"/>
      <c r="AG999" s="41"/>
      <c r="AH999" s="41"/>
      <c r="AJ999" s="41"/>
      <c r="AM999" s="44"/>
    </row>
    <row r="1000">
      <c r="B1000" s="39"/>
      <c r="C1000" s="40"/>
      <c r="E1000" s="40"/>
      <c r="F1000" s="40"/>
      <c r="G1000" s="40"/>
      <c r="H1000" s="40"/>
      <c r="I1000" s="41"/>
      <c r="K1000" s="42"/>
      <c r="L1000" s="42"/>
      <c r="M1000" s="41"/>
      <c r="N1000" s="43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1"/>
      <c r="AC1000" s="41"/>
      <c r="AD1000" s="41"/>
      <c r="AE1000" s="41"/>
      <c r="AF1000" s="41"/>
      <c r="AG1000" s="41"/>
      <c r="AH1000" s="41"/>
      <c r="AJ1000" s="41"/>
      <c r="AM1000" s="44"/>
    </row>
    <row r="1001">
      <c r="B1001" s="39"/>
      <c r="C1001" s="40"/>
      <c r="E1001" s="40"/>
      <c r="F1001" s="40"/>
      <c r="G1001" s="40"/>
      <c r="H1001" s="40"/>
      <c r="I1001" s="41"/>
      <c r="K1001" s="42"/>
      <c r="L1001" s="42"/>
      <c r="M1001" s="41"/>
      <c r="N1001" s="43"/>
      <c r="Q1001" s="41"/>
      <c r="R1001" s="41"/>
      <c r="S1001" s="41"/>
      <c r="T1001" s="41"/>
      <c r="U1001" s="41"/>
      <c r="V1001" s="41"/>
      <c r="W1001" s="41"/>
      <c r="X1001" s="41"/>
      <c r="Y1001" s="41"/>
      <c r="Z1001" s="41"/>
      <c r="AA1001" s="41"/>
      <c r="AB1001" s="41"/>
      <c r="AC1001" s="41"/>
      <c r="AD1001" s="41"/>
      <c r="AE1001" s="41"/>
      <c r="AF1001" s="41"/>
      <c r="AG1001" s="41"/>
      <c r="AH1001" s="41"/>
      <c r="AJ1001" s="41"/>
      <c r="AM1001" s="44"/>
    </row>
    <row r="1002">
      <c r="B1002" s="39"/>
      <c r="C1002" s="40"/>
      <c r="E1002" s="40"/>
      <c r="F1002" s="40"/>
      <c r="G1002" s="40"/>
      <c r="H1002" s="40"/>
      <c r="I1002" s="41"/>
      <c r="K1002" s="42"/>
      <c r="L1002" s="42"/>
      <c r="M1002" s="41"/>
      <c r="N1002" s="43"/>
      <c r="Q1002" s="41"/>
      <c r="R1002" s="41"/>
      <c r="S1002" s="41"/>
      <c r="T1002" s="41"/>
      <c r="U1002" s="41"/>
      <c r="V1002" s="41"/>
      <c r="W1002" s="41"/>
      <c r="X1002" s="41"/>
      <c r="Y1002" s="41"/>
      <c r="Z1002" s="41"/>
      <c r="AA1002" s="41"/>
      <c r="AB1002" s="41"/>
      <c r="AC1002" s="41"/>
      <c r="AD1002" s="41"/>
      <c r="AE1002" s="41"/>
      <c r="AF1002" s="41"/>
      <c r="AG1002" s="41"/>
      <c r="AH1002" s="41"/>
      <c r="AJ1002" s="41"/>
      <c r="AM1002" s="44"/>
    </row>
    <row r="1003">
      <c r="B1003" s="39"/>
      <c r="C1003" s="40"/>
      <c r="E1003" s="40"/>
      <c r="F1003" s="40"/>
      <c r="G1003" s="40"/>
      <c r="H1003" s="40"/>
      <c r="I1003" s="41"/>
      <c r="K1003" s="42"/>
      <c r="L1003" s="42"/>
      <c r="M1003" s="41"/>
      <c r="N1003" s="43"/>
      <c r="Q1003" s="41"/>
      <c r="R1003" s="41"/>
      <c r="S1003" s="41"/>
      <c r="T1003" s="41"/>
      <c r="U1003" s="41"/>
      <c r="V1003" s="41"/>
      <c r="W1003" s="41"/>
      <c r="X1003" s="41"/>
      <c r="Y1003" s="41"/>
      <c r="Z1003" s="41"/>
      <c r="AA1003" s="41"/>
      <c r="AB1003" s="41"/>
      <c r="AC1003" s="41"/>
      <c r="AD1003" s="41"/>
      <c r="AE1003" s="41"/>
      <c r="AF1003" s="41"/>
      <c r="AG1003" s="41"/>
      <c r="AH1003" s="41"/>
      <c r="AJ1003" s="41"/>
      <c r="AM1003" s="44"/>
    </row>
    <row r="1004">
      <c r="B1004" s="39"/>
      <c r="C1004" s="40"/>
      <c r="E1004" s="40"/>
      <c r="F1004" s="40"/>
      <c r="G1004" s="40"/>
      <c r="H1004" s="40"/>
      <c r="I1004" s="41"/>
      <c r="K1004" s="42"/>
      <c r="L1004" s="42"/>
      <c r="M1004" s="41"/>
      <c r="N1004" s="43"/>
      <c r="Q1004" s="41"/>
      <c r="R1004" s="41"/>
      <c r="S1004" s="41"/>
      <c r="T1004" s="41"/>
      <c r="U1004" s="41"/>
      <c r="V1004" s="41"/>
      <c r="W1004" s="41"/>
      <c r="X1004" s="41"/>
      <c r="Y1004" s="41"/>
      <c r="Z1004" s="41"/>
      <c r="AA1004" s="41"/>
      <c r="AB1004" s="41"/>
      <c r="AC1004" s="41"/>
      <c r="AD1004" s="41"/>
      <c r="AE1004" s="41"/>
      <c r="AF1004" s="41"/>
      <c r="AG1004" s="41"/>
      <c r="AH1004" s="41"/>
      <c r="AJ1004" s="41"/>
      <c r="AM1004" s="44"/>
    </row>
    <row r="1005">
      <c r="B1005" s="39"/>
      <c r="C1005" s="40"/>
      <c r="E1005" s="40"/>
      <c r="F1005" s="40"/>
      <c r="G1005" s="40"/>
      <c r="H1005" s="40"/>
      <c r="I1005" s="41"/>
      <c r="K1005" s="42"/>
      <c r="L1005" s="42"/>
      <c r="M1005" s="41"/>
      <c r="N1005" s="43"/>
      <c r="Q1005" s="41"/>
      <c r="R1005" s="41"/>
      <c r="S1005" s="41"/>
      <c r="T1005" s="41"/>
      <c r="U1005" s="41"/>
      <c r="V1005" s="41"/>
      <c r="W1005" s="41"/>
      <c r="X1005" s="41"/>
      <c r="Y1005" s="41"/>
      <c r="Z1005" s="41"/>
      <c r="AA1005" s="41"/>
      <c r="AB1005" s="41"/>
      <c r="AC1005" s="41"/>
      <c r="AD1005" s="41"/>
      <c r="AE1005" s="41"/>
      <c r="AF1005" s="41"/>
      <c r="AG1005" s="41"/>
      <c r="AH1005" s="41"/>
      <c r="AJ1005" s="41"/>
      <c r="AM1005" s="44"/>
    </row>
    <row r="1006">
      <c r="B1006" s="39"/>
      <c r="C1006" s="40"/>
      <c r="E1006" s="40"/>
      <c r="F1006" s="40"/>
      <c r="G1006" s="40"/>
      <c r="H1006" s="40"/>
      <c r="I1006" s="41"/>
      <c r="K1006" s="42"/>
      <c r="L1006" s="42"/>
      <c r="M1006" s="41"/>
      <c r="N1006" s="43"/>
      <c r="Q1006" s="41"/>
      <c r="R1006" s="41"/>
      <c r="S1006" s="41"/>
      <c r="T1006" s="41"/>
      <c r="U1006" s="41"/>
      <c r="V1006" s="41"/>
      <c r="W1006" s="41"/>
      <c r="X1006" s="41"/>
      <c r="Y1006" s="41"/>
      <c r="Z1006" s="41"/>
      <c r="AA1006" s="41"/>
      <c r="AB1006" s="41"/>
      <c r="AC1006" s="41"/>
      <c r="AD1006" s="41"/>
      <c r="AE1006" s="41"/>
      <c r="AF1006" s="41"/>
      <c r="AG1006" s="41"/>
      <c r="AH1006" s="41"/>
      <c r="AJ1006" s="41"/>
      <c r="AM1006" s="44"/>
    </row>
    <row r="1007">
      <c r="B1007" s="39"/>
      <c r="C1007" s="40"/>
      <c r="E1007" s="40"/>
      <c r="F1007" s="40"/>
      <c r="G1007" s="40"/>
      <c r="H1007" s="40"/>
      <c r="I1007" s="41"/>
      <c r="K1007" s="42"/>
      <c r="L1007" s="42"/>
      <c r="M1007" s="41"/>
      <c r="N1007" s="43"/>
      <c r="Q1007" s="41"/>
      <c r="R1007" s="41"/>
      <c r="S1007" s="41"/>
      <c r="T1007" s="41"/>
      <c r="U1007" s="41"/>
      <c r="V1007" s="41"/>
      <c r="W1007" s="41"/>
      <c r="X1007" s="41"/>
      <c r="Y1007" s="41"/>
      <c r="Z1007" s="41"/>
      <c r="AA1007" s="41"/>
      <c r="AB1007" s="41"/>
      <c r="AC1007" s="41"/>
      <c r="AD1007" s="41"/>
      <c r="AE1007" s="41"/>
      <c r="AF1007" s="41"/>
      <c r="AG1007" s="41"/>
      <c r="AH1007" s="41"/>
      <c r="AJ1007" s="41"/>
      <c r="AM1007" s="44"/>
    </row>
    <row r="1008">
      <c r="B1008" s="39"/>
      <c r="C1008" s="40"/>
      <c r="E1008" s="40"/>
      <c r="F1008" s="40"/>
      <c r="G1008" s="40"/>
      <c r="H1008" s="40"/>
      <c r="I1008" s="41"/>
      <c r="K1008" s="42"/>
      <c r="L1008" s="42"/>
      <c r="M1008" s="41"/>
      <c r="N1008" s="43"/>
      <c r="Q1008" s="41"/>
      <c r="R1008" s="41"/>
      <c r="S1008" s="41"/>
      <c r="T1008" s="41"/>
      <c r="U1008" s="41"/>
      <c r="V1008" s="41"/>
      <c r="W1008" s="41"/>
      <c r="X1008" s="41"/>
      <c r="Y1008" s="41"/>
      <c r="Z1008" s="41"/>
      <c r="AA1008" s="41"/>
      <c r="AB1008" s="41"/>
      <c r="AC1008" s="41"/>
      <c r="AD1008" s="41"/>
      <c r="AE1008" s="41"/>
      <c r="AF1008" s="41"/>
      <c r="AG1008" s="41"/>
      <c r="AH1008" s="41"/>
      <c r="AJ1008" s="41"/>
      <c r="AM1008" s="44"/>
    </row>
    <row r="1009">
      <c r="B1009" s="39"/>
      <c r="C1009" s="40"/>
      <c r="E1009" s="40"/>
      <c r="F1009" s="40"/>
      <c r="G1009" s="40"/>
      <c r="H1009" s="40"/>
      <c r="I1009" s="41"/>
      <c r="K1009" s="42"/>
      <c r="L1009" s="42"/>
      <c r="M1009" s="41"/>
      <c r="N1009" s="43"/>
      <c r="Q1009" s="41"/>
      <c r="R1009" s="41"/>
      <c r="S1009" s="41"/>
      <c r="T1009" s="41"/>
      <c r="U1009" s="41"/>
      <c r="V1009" s="41"/>
      <c r="W1009" s="41"/>
      <c r="X1009" s="41"/>
      <c r="Y1009" s="41"/>
      <c r="Z1009" s="41"/>
      <c r="AA1009" s="41"/>
      <c r="AB1009" s="41"/>
      <c r="AC1009" s="41"/>
      <c r="AD1009" s="41"/>
      <c r="AE1009" s="41"/>
      <c r="AF1009" s="41"/>
      <c r="AG1009" s="41"/>
      <c r="AH1009" s="41"/>
      <c r="AJ1009" s="41"/>
      <c r="AM1009" s="44"/>
    </row>
    <row r="1010">
      <c r="B1010" s="39"/>
      <c r="C1010" s="40"/>
      <c r="E1010" s="40"/>
      <c r="F1010" s="40"/>
      <c r="G1010" s="40"/>
      <c r="H1010" s="40"/>
      <c r="I1010" s="41"/>
      <c r="K1010" s="42"/>
      <c r="L1010" s="42"/>
      <c r="M1010" s="41"/>
      <c r="N1010" s="43"/>
      <c r="Q1010" s="41"/>
      <c r="R1010" s="41"/>
      <c r="S1010" s="41"/>
      <c r="T1010" s="41"/>
      <c r="U1010" s="41"/>
      <c r="V1010" s="41"/>
      <c r="W1010" s="41"/>
      <c r="X1010" s="41"/>
      <c r="Y1010" s="41"/>
      <c r="Z1010" s="41"/>
      <c r="AA1010" s="41"/>
      <c r="AB1010" s="41"/>
      <c r="AC1010" s="41"/>
      <c r="AD1010" s="41"/>
      <c r="AE1010" s="41"/>
      <c r="AF1010" s="41"/>
      <c r="AG1010" s="41"/>
      <c r="AH1010" s="41"/>
      <c r="AJ1010" s="41"/>
      <c r="AM1010" s="44"/>
    </row>
    <row r="1011">
      <c r="B1011" s="39"/>
      <c r="C1011" s="40"/>
      <c r="E1011" s="40"/>
      <c r="F1011" s="40"/>
      <c r="G1011" s="40"/>
      <c r="H1011" s="40"/>
      <c r="I1011" s="41"/>
      <c r="K1011" s="42"/>
      <c r="L1011" s="42"/>
      <c r="M1011" s="41"/>
      <c r="N1011" s="43"/>
      <c r="Q1011" s="41"/>
      <c r="R1011" s="41"/>
      <c r="S1011" s="41"/>
      <c r="T1011" s="41"/>
      <c r="U1011" s="41"/>
      <c r="V1011" s="41"/>
      <c r="W1011" s="41"/>
      <c r="X1011" s="41"/>
      <c r="Y1011" s="41"/>
      <c r="Z1011" s="41"/>
      <c r="AA1011" s="41"/>
      <c r="AB1011" s="41"/>
      <c r="AC1011" s="41"/>
      <c r="AD1011" s="41"/>
      <c r="AE1011" s="41"/>
      <c r="AF1011" s="41"/>
      <c r="AG1011" s="41"/>
      <c r="AH1011" s="41"/>
      <c r="AJ1011" s="41"/>
      <c r="AM1011" s="44"/>
    </row>
    <row r="1012">
      <c r="B1012" s="39"/>
      <c r="C1012" s="40"/>
      <c r="E1012" s="40"/>
      <c r="F1012" s="40"/>
      <c r="G1012" s="40"/>
      <c r="H1012" s="40"/>
      <c r="I1012" s="41"/>
      <c r="K1012" s="42"/>
      <c r="L1012" s="42"/>
      <c r="M1012" s="41"/>
      <c r="N1012" s="43"/>
      <c r="Q1012" s="41"/>
      <c r="R1012" s="41"/>
      <c r="S1012" s="41"/>
      <c r="T1012" s="41"/>
      <c r="U1012" s="41"/>
      <c r="V1012" s="41"/>
      <c r="W1012" s="41"/>
      <c r="X1012" s="41"/>
      <c r="Y1012" s="41"/>
      <c r="Z1012" s="41"/>
      <c r="AA1012" s="41"/>
      <c r="AB1012" s="41"/>
      <c r="AC1012" s="41"/>
      <c r="AD1012" s="41"/>
      <c r="AE1012" s="41"/>
      <c r="AF1012" s="41"/>
      <c r="AG1012" s="41"/>
      <c r="AH1012" s="41"/>
      <c r="AJ1012" s="41"/>
      <c r="AM1012" s="44"/>
    </row>
    <row r="1013">
      <c r="B1013" s="39"/>
      <c r="C1013" s="40"/>
      <c r="E1013" s="40"/>
      <c r="F1013" s="40"/>
      <c r="G1013" s="40"/>
      <c r="H1013" s="40"/>
      <c r="I1013" s="41"/>
      <c r="K1013" s="42"/>
      <c r="L1013" s="42"/>
      <c r="M1013" s="41"/>
      <c r="N1013" s="43"/>
      <c r="Q1013" s="41"/>
      <c r="R1013" s="41"/>
      <c r="S1013" s="41"/>
      <c r="T1013" s="41"/>
      <c r="U1013" s="41"/>
      <c r="V1013" s="41"/>
      <c r="W1013" s="41"/>
      <c r="X1013" s="41"/>
      <c r="Y1013" s="41"/>
      <c r="Z1013" s="41"/>
      <c r="AA1013" s="41"/>
      <c r="AB1013" s="41"/>
      <c r="AC1013" s="41"/>
      <c r="AD1013" s="41"/>
      <c r="AE1013" s="41"/>
      <c r="AF1013" s="41"/>
      <c r="AG1013" s="41"/>
      <c r="AH1013" s="41"/>
      <c r="AJ1013" s="41"/>
      <c r="AM1013" s="44"/>
    </row>
    <row r="1014">
      <c r="B1014" s="39"/>
      <c r="C1014" s="40"/>
      <c r="E1014" s="40"/>
      <c r="F1014" s="40"/>
      <c r="G1014" s="40"/>
      <c r="H1014" s="40"/>
      <c r="I1014" s="41"/>
      <c r="K1014" s="42"/>
      <c r="L1014" s="42"/>
      <c r="M1014" s="41"/>
      <c r="N1014" s="43"/>
      <c r="Q1014" s="41"/>
      <c r="R1014" s="41"/>
      <c r="S1014" s="41"/>
      <c r="T1014" s="41"/>
      <c r="U1014" s="41"/>
      <c r="V1014" s="41"/>
      <c r="W1014" s="41"/>
      <c r="X1014" s="41"/>
      <c r="Y1014" s="41"/>
      <c r="Z1014" s="41"/>
      <c r="AA1014" s="41"/>
      <c r="AB1014" s="41"/>
      <c r="AC1014" s="41"/>
      <c r="AD1014" s="41"/>
      <c r="AE1014" s="41"/>
      <c r="AF1014" s="41"/>
      <c r="AG1014" s="41"/>
      <c r="AH1014" s="41"/>
      <c r="AJ1014" s="41"/>
      <c r="AM1014" s="44"/>
    </row>
    <row r="1015">
      <c r="B1015" s="39"/>
      <c r="C1015" s="40"/>
      <c r="E1015" s="40"/>
      <c r="F1015" s="40"/>
      <c r="G1015" s="40"/>
      <c r="H1015" s="40"/>
      <c r="I1015" s="41"/>
      <c r="K1015" s="42"/>
      <c r="L1015" s="42"/>
      <c r="M1015" s="41"/>
      <c r="N1015" s="43"/>
      <c r="Q1015" s="41"/>
      <c r="R1015" s="41"/>
      <c r="S1015" s="41"/>
      <c r="T1015" s="41"/>
      <c r="U1015" s="41"/>
      <c r="V1015" s="41"/>
      <c r="W1015" s="41"/>
      <c r="X1015" s="41"/>
      <c r="Y1015" s="41"/>
      <c r="Z1015" s="41"/>
      <c r="AA1015" s="41"/>
      <c r="AB1015" s="41"/>
      <c r="AC1015" s="41"/>
      <c r="AD1015" s="41"/>
      <c r="AE1015" s="41"/>
      <c r="AF1015" s="41"/>
      <c r="AG1015" s="41"/>
      <c r="AH1015" s="41"/>
      <c r="AJ1015" s="41"/>
      <c r="AM1015" s="44"/>
    </row>
    <row r="1016">
      <c r="B1016" s="39"/>
      <c r="C1016" s="40"/>
      <c r="E1016" s="40"/>
      <c r="F1016" s="40"/>
      <c r="G1016" s="40"/>
      <c r="H1016" s="40"/>
      <c r="I1016" s="41"/>
      <c r="K1016" s="42"/>
      <c r="L1016" s="42"/>
      <c r="M1016" s="41"/>
      <c r="N1016" s="43"/>
      <c r="Q1016" s="41"/>
      <c r="R1016" s="41"/>
      <c r="S1016" s="41"/>
      <c r="T1016" s="41"/>
      <c r="U1016" s="41"/>
      <c r="V1016" s="41"/>
      <c r="W1016" s="41"/>
      <c r="X1016" s="41"/>
      <c r="Y1016" s="41"/>
      <c r="Z1016" s="41"/>
      <c r="AA1016" s="41"/>
      <c r="AB1016" s="41"/>
      <c r="AC1016" s="41"/>
      <c r="AD1016" s="41"/>
      <c r="AE1016" s="41"/>
      <c r="AF1016" s="41"/>
      <c r="AG1016" s="41"/>
      <c r="AH1016" s="41"/>
      <c r="AJ1016" s="41"/>
      <c r="AM1016" s="44"/>
    </row>
    <row r="1017">
      <c r="B1017" s="39"/>
      <c r="C1017" s="40"/>
      <c r="E1017" s="40"/>
      <c r="F1017" s="40"/>
      <c r="G1017" s="40"/>
      <c r="H1017" s="40"/>
      <c r="I1017" s="41"/>
      <c r="K1017" s="42"/>
      <c r="L1017" s="42"/>
      <c r="M1017" s="41"/>
      <c r="N1017" s="43"/>
      <c r="Q1017" s="41"/>
      <c r="R1017" s="41"/>
      <c r="S1017" s="41"/>
      <c r="T1017" s="41"/>
      <c r="U1017" s="41"/>
      <c r="V1017" s="41"/>
      <c r="W1017" s="41"/>
      <c r="X1017" s="41"/>
      <c r="Y1017" s="41"/>
      <c r="Z1017" s="41"/>
      <c r="AA1017" s="41"/>
      <c r="AB1017" s="41"/>
      <c r="AC1017" s="41"/>
      <c r="AD1017" s="41"/>
      <c r="AE1017" s="41"/>
      <c r="AF1017" s="41"/>
      <c r="AG1017" s="41"/>
      <c r="AH1017" s="41"/>
      <c r="AJ1017" s="41"/>
      <c r="AM1017" s="44"/>
    </row>
    <row r="1018">
      <c r="B1018" s="39"/>
      <c r="C1018" s="40"/>
      <c r="E1018" s="40"/>
      <c r="F1018" s="40"/>
      <c r="G1018" s="40"/>
      <c r="H1018" s="40"/>
      <c r="I1018" s="41"/>
      <c r="K1018" s="42"/>
      <c r="L1018" s="42"/>
      <c r="M1018" s="41"/>
      <c r="N1018" s="43"/>
      <c r="Q1018" s="41"/>
      <c r="R1018" s="41"/>
      <c r="S1018" s="41"/>
      <c r="T1018" s="41"/>
      <c r="U1018" s="41"/>
      <c r="V1018" s="41"/>
      <c r="W1018" s="41"/>
      <c r="X1018" s="41"/>
      <c r="Y1018" s="41"/>
      <c r="Z1018" s="41"/>
      <c r="AA1018" s="41"/>
      <c r="AB1018" s="41"/>
      <c r="AC1018" s="41"/>
      <c r="AD1018" s="41"/>
      <c r="AE1018" s="41"/>
      <c r="AF1018" s="41"/>
      <c r="AG1018" s="41"/>
      <c r="AH1018" s="41"/>
      <c r="AJ1018" s="41"/>
      <c r="AM1018" s="44"/>
    </row>
    <row r="1019">
      <c r="B1019" s="39"/>
      <c r="C1019" s="40"/>
      <c r="E1019" s="40"/>
      <c r="F1019" s="40"/>
      <c r="G1019" s="40"/>
      <c r="H1019" s="40"/>
      <c r="I1019" s="41"/>
      <c r="K1019" s="42"/>
      <c r="L1019" s="42"/>
      <c r="M1019" s="41"/>
      <c r="N1019" s="43"/>
      <c r="Q1019" s="41"/>
      <c r="R1019" s="41"/>
      <c r="S1019" s="41"/>
      <c r="T1019" s="41"/>
      <c r="U1019" s="41"/>
      <c r="V1019" s="41"/>
      <c r="W1019" s="41"/>
      <c r="X1019" s="41"/>
      <c r="Y1019" s="41"/>
      <c r="Z1019" s="41"/>
      <c r="AA1019" s="41"/>
      <c r="AB1019" s="41"/>
      <c r="AC1019" s="41"/>
      <c r="AD1019" s="41"/>
      <c r="AE1019" s="41"/>
      <c r="AF1019" s="41"/>
      <c r="AG1019" s="41"/>
      <c r="AH1019" s="41"/>
      <c r="AJ1019" s="41"/>
      <c r="AM1019" s="44"/>
    </row>
    <row r="1020">
      <c r="B1020" s="39"/>
      <c r="C1020" s="40"/>
      <c r="E1020" s="40"/>
      <c r="F1020" s="40"/>
      <c r="G1020" s="40"/>
      <c r="H1020" s="40"/>
      <c r="I1020" s="41"/>
      <c r="K1020" s="42"/>
      <c r="L1020" s="42"/>
      <c r="M1020" s="41"/>
      <c r="N1020" s="43"/>
      <c r="Q1020" s="41"/>
      <c r="R1020" s="41"/>
      <c r="S1020" s="41"/>
      <c r="T1020" s="41"/>
      <c r="U1020" s="41"/>
      <c r="V1020" s="41"/>
      <c r="W1020" s="41"/>
      <c r="X1020" s="41"/>
      <c r="Y1020" s="41"/>
      <c r="Z1020" s="41"/>
      <c r="AA1020" s="41"/>
      <c r="AB1020" s="41"/>
      <c r="AC1020" s="41"/>
      <c r="AD1020" s="41"/>
      <c r="AE1020" s="41"/>
      <c r="AF1020" s="41"/>
      <c r="AG1020" s="41"/>
      <c r="AH1020" s="41"/>
      <c r="AJ1020" s="41"/>
      <c r="AM1020" s="44"/>
    </row>
    <row r="1021">
      <c r="B1021" s="39"/>
      <c r="C1021" s="40"/>
      <c r="E1021" s="40"/>
      <c r="F1021" s="40"/>
      <c r="G1021" s="40"/>
      <c r="H1021" s="40"/>
      <c r="I1021" s="41"/>
      <c r="K1021" s="42"/>
      <c r="L1021" s="42"/>
      <c r="M1021" s="41"/>
      <c r="N1021" s="43"/>
      <c r="Q1021" s="41"/>
      <c r="R1021" s="41"/>
      <c r="S1021" s="41"/>
      <c r="T1021" s="41"/>
      <c r="U1021" s="41"/>
      <c r="V1021" s="41"/>
      <c r="W1021" s="41"/>
      <c r="X1021" s="41"/>
      <c r="Y1021" s="41"/>
      <c r="Z1021" s="41"/>
      <c r="AA1021" s="41"/>
      <c r="AB1021" s="41"/>
      <c r="AC1021" s="41"/>
      <c r="AD1021" s="41"/>
      <c r="AE1021" s="41"/>
      <c r="AF1021" s="41"/>
      <c r="AG1021" s="41"/>
      <c r="AH1021" s="41"/>
      <c r="AJ1021" s="41"/>
      <c r="AM1021" s="44"/>
    </row>
    <row r="1022">
      <c r="B1022" s="39"/>
      <c r="C1022" s="40"/>
      <c r="E1022" s="40"/>
      <c r="F1022" s="40"/>
      <c r="G1022" s="40"/>
      <c r="H1022" s="40"/>
      <c r="I1022" s="41"/>
      <c r="K1022" s="42"/>
      <c r="L1022" s="42"/>
      <c r="M1022" s="41"/>
      <c r="N1022" s="43"/>
      <c r="Q1022" s="41"/>
      <c r="R1022" s="41"/>
      <c r="S1022" s="41"/>
      <c r="T1022" s="41"/>
      <c r="U1022" s="41"/>
      <c r="V1022" s="41"/>
      <c r="W1022" s="41"/>
      <c r="X1022" s="41"/>
      <c r="Y1022" s="41"/>
      <c r="Z1022" s="41"/>
      <c r="AA1022" s="41"/>
      <c r="AB1022" s="41"/>
      <c r="AC1022" s="41"/>
      <c r="AD1022" s="41"/>
      <c r="AE1022" s="41"/>
      <c r="AF1022" s="41"/>
      <c r="AG1022" s="41"/>
      <c r="AH1022" s="41"/>
      <c r="AJ1022" s="41"/>
      <c r="AM1022" s="44"/>
    </row>
    <row r="1023">
      <c r="B1023" s="39"/>
      <c r="C1023" s="40"/>
      <c r="E1023" s="40"/>
      <c r="F1023" s="40"/>
      <c r="G1023" s="40"/>
      <c r="H1023" s="40"/>
      <c r="I1023" s="41"/>
      <c r="K1023" s="42"/>
      <c r="L1023" s="42"/>
      <c r="M1023" s="41"/>
      <c r="N1023" s="43"/>
      <c r="Q1023" s="41"/>
      <c r="R1023" s="41"/>
      <c r="S1023" s="41"/>
      <c r="T1023" s="41"/>
      <c r="U1023" s="41"/>
      <c r="V1023" s="41"/>
      <c r="W1023" s="41"/>
      <c r="X1023" s="41"/>
      <c r="Y1023" s="41"/>
      <c r="Z1023" s="41"/>
      <c r="AA1023" s="41"/>
      <c r="AB1023" s="41"/>
      <c r="AC1023" s="41"/>
      <c r="AD1023" s="41"/>
      <c r="AE1023" s="41"/>
      <c r="AF1023" s="41"/>
      <c r="AG1023" s="41"/>
      <c r="AH1023" s="41"/>
      <c r="AJ1023" s="41"/>
      <c r="AM1023" s="44"/>
    </row>
  </sheetData>
  <dataValidations>
    <dataValidation type="custom" allowBlank="1" showDropDown="1" sqref="AL2:AL46 AQ2:AR46 AU2:AU46 AW2:AW46 AY2:AY46 BA2:BA46">
      <formula1>AND(ISNUMBER(AL2),(NOT(OR(NOT(ISERROR(DATEVALUE(AL2))), AND(ISNUMBER(AL2), LEFT(CELL("format", AL2))="D")))))</formula1>
    </dataValidation>
  </dataValidations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18.88"/>
    <col customWidth="1" min="2" max="2" width="18.88"/>
    <col customWidth="1" min="3" max="3" width="11.38"/>
    <col customWidth="1" min="4" max="4" width="12.75"/>
    <col customWidth="1" min="5" max="5" width="15.0"/>
    <col customWidth="1" min="6" max="6" width="18.25"/>
    <col customWidth="1" min="7" max="7" width="22.5"/>
    <col customWidth="1" min="8" max="8" width="18.88"/>
    <col customWidth="1" min="9" max="9" width="27.5"/>
    <col customWidth="1" min="10" max="10" width="23.25"/>
    <col customWidth="1" min="11" max="11" width="35.75"/>
    <col customWidth="1" min="12" max="12" width="33.88"/>
    <col customWidth="1" min="13" max="13" width="35.25"/>
    <col customWidth="1" min="14" max="14" width="33.38"/>
    <col customWidth="1" min="15" max="15" width="33.75"/>
    <col customWidth="1" min="16" max="16" width="31.88"/>
    <col customWidth="1" min="17" max="17" width="47.5"/>
    <col customWidth="1" min="18" max="18" width="45.63"/>
  </cols>
  <sheetData>
    <row r="1" ht="22.5" customHeight="1">
      <c r="A1" s="45" t="s">
        <v>124</v>
      </c>
      <c r="B1" s="46" t="s">
        <v>125</v>
      </c>
      <c r="C1" s="46" t="s">
        <v>126</v>
      </c>
      <c r="D1" s="46" t="s">
        <v>127</v>
      </c>
      <c r="E1" s="46" t="s">
        <v>128</v>
      </c>
      <c r="F1" s="47" t="s">
        <v>129</v>
      </c>
      <c r="G1" s="46" t="s">
        <v>130</v>
      </c>
      <c r="H1" s="47" t="s">
        <v>131</v>
      </c>
      <c r="I1" s="46" t="s">
        <v>132</v>
      </c>
      <c r="J1" s="48" t="s">
        <v>133</v>
      </c>
      <c r="K1" s="49" t="s">
        <v>134</v>
      </c>
      <c r="L1" s="47" t="s">
        <v>135</v>
      </c>
      <c r="M1" s="50" t="s">
        <v>136</v>
      </c>
      <c r="N1" s="50" t="s">
        <v>137</v>
      </c>
      <c r="O1" s="50" t="s">
        <v>138</v>
      </c>
      <c r="P1" s="50" t="s">
        <v>139</v>
      </c>
      <c r="Q1" s="50" t="s">
        <v>140</v>
      </c>
      <c r="R1" s="50" t="s">
        <v>141</v>
      </c>
    </row>
    <row r="2" ht="22.5" customHeight="1">
      <c r="A2" s="51">
        <v>45723.63413730324</v>
      </c>
      <c r="B2" s="32" t="s">
        <v>79</v>
      </c>
      <c r="C2" s="32" t="s">
        <v>142</v>
      </c>
      <c r="D2" s="32" t="s">
        <v>143</v>
      </c>
      <c r="E2" s="52">
        <v>45254.0</v>
      </c>
      <c r="F2" s="22">
        <v>658500.0</v>
      </c>
      <c r="G2" s="32" t="s">
        <v>144</v>
      </c>
      <c r="H2" s="22">
        <f t="array" ref="H2:H1131">IF(F2:F1131="",,
     F2:F1131/4
  )
</f>
        <v>164625</v>
      </c>
      <c r="I2" s="32">
        <f t="array" ref="I2:I1131">IF(E2:E1131="",,IF((NOW()-E2:E1131)/365.25 &lt; 2/12, 0, (NOW()-E2:E1131)/365.25 - 2/12))
</f>
        <v>1.975276878</v>
      </c>
      <c r="J2" s="25">
        <f t="array" ref="J2:J1131">IF(C2:C1131="",,
  LET(
    elapsed_years, I2:I1131,
    vaccine_id,  C2:C1131,
    efficacy_1, VLOOKUP(vaccine_id, {'Vaccine efficacy curves'!A$2:A1131, 'Vaccine efficacy curves'!C$2:C1131}, 2, FALSE),
    time_1,     VLOOKUP(vaccine_id, {'Vaccine efficacy curves'!A$2:A1131, 'Vaccine efficacy curves'!B$2:B1131}, 2, FALSE),
    efficacy_2, VLOOKUP(vaccine_id, {'Vaccine efficacy curves'!A$2:A1131, 'Vaccine efficacy curves'!E$2:E1131}, 2, FALSE),
    time_2,     VLOOKUP(vaccine_id, {'Vaccine efficacy curves'!A$2:A1131, 'Vaccine efficacy curves'!D$2:D1131}, 2, FALSE),
    efficacy_3, VLOOKUP(vaccine_id, {'Vaccine efficacy curves'!A$2:A1131, 'Vaccine efficacy curves'!G$2:G1131}, 2, FALSE),
    time_3,     VLOOKUP(vaccine_id, {'Vaccine efficacy curves'!A$2:A1131, 'Vaccine efficacy curves'!F$2:F1131}, 2, FALSE),
    IF(elapsed_years&lt;=time_1, efficacy_1,
       IF(elapsed_years&lt;=time_2,
          efficacy_1 + (efficacy_2-efficacy_1)*(elapsed_years-time_1)/(time_2-time_1),
          IF(elapsed_years&lt;=time_3,
             efficacy_2 + (efficacy_3-efficacy_2)*(elapsed_years-time_2)/(time_3-time_2),
             efficacy_3)))
  )
 )
</f>
        <v>0.4897800648</v>
      </c>
      <c r="K2" s="22">
        <f t="array" ref="K2:K1131">IF(B2:B1131="",, H2:H1131 * (VLOOKUP(B2:B1131, Countries!A:S, 18, FALSE)/1000000) * VLOOKUP(C2:C1131, {'Vaccine efficacy curves'!A$2:A1131, 'Vaccine efficacy curves'!C$2:C1131}, 2, FALSE) * I2:I1131 )</f>
        <v>2940.19912</v>
      </c>
      <c r="L2" s="22">
        <f t="array" ref="L2:L1131">IF(B2:B1131="",, H2:H1131 * (VLOOKUP(B2:B1131, Countries!A:T, 19, FALSE)/1000000) * VLOOKUP(C2:C1131, {'Vaccine efficacy curves'!A$2:A1131, 'Vaccine efficacy curves'!C$2:C1131}, 2, FALSE) * I2:I1131 )</f>
        <v>64370.59306</v>
      </c>
      <c r="M2" s="24">
        <f t="array" ref="M2:M1131">IF(B2:B1131="",, IF(I2:I1131&lt;=0.25, 0, H2:H1131 * (VLOOKUP(B2:B1131, Countries!A:S, 18, FALSE)/1000000) * VLOOKUP(C2:C1131, {'Vaccine efficacy curves'!A$2:A1131, 'Vaccine efficacy curves'!C$2:C1131}, 2, FALSE) * (I2:I1131-0.25) ))</f>
        <v>2568.074185</v>
      </c>
      <c r="N2" s="24">
        <f t="array" ref="N2:N1131">IF(B2:B1131="",, IF(I2:I1131&lt;=0.25, 0, H2:H1131 * (VLOOKUP(B2:B1131, Countries!A:T, 19, FALSE)/1000000) * VLOOKUP(C2:C1131, {'Vaccine efficacy curves'!A$2:A1131, 'Vaccine efficacy curves'!C$2:C1131}, 2, FALSE) * (I2:I1131-0.25) ))</f>
        <v>56223.55887</v>
      </c>
      <c r="O2" s="24">
        <f t="array" ref="O2:O1131">IF(B2:B1131="","",
   LET(
     elapsed_years,        I2:I1131,
     children_covered,        H2:H1131,
     case_rate,  VLOOKUP(B2:B1131, Countries!A:T, 18, FALSE)/1000000,
     time_1,     XLOOKUP(C2:C1131,'Vaccine efficacy curves'!A$2:A1131,'Vaccine efficacy curves'!B$2:B1131),
     efficacy_1,      XLOOKUP(C2:C1131,'Vaccine efficacy curves'!A$2:A1131,'Vaccine efficacy curves'!C$2:C1131),
     time_2,     XLOOKUP(C2:C1131,'Vaccine efficacy curves'!A$2:A1131,'Vaccine efficacy curves'!D$2:D1131),
     efficacy_2,      XLOOKUP(C2:C1131,'Vaccine efficacy curves'!A$2:A1131,'Vaccine efficacy curves'!E$2:E1131),
     time_3,     XLOOKUP(C2:C1131,'Vaccine efficacy curves'!A$2:A1131,'Vaccine efficacy curves'!F$2:F1131),
     efficacy_3,      XLOOKUP(C2:C1131,'Vaccine efficacy curves'!A$2:A1131,'Vaccine efficacy curves'!G$2:G1131),
     segment_1,      IF(elapsed_years &lt; time_1, elapsed_years, time_1),
     segment_2,      IF(elapsed_years &lt;= time_1, 0, IF(elapsed_years &lt; time_2, elapsed_years-time_1, time_2-time_1)),
     segment_3,      IF(elapsed_years &lt;= time_2, 0, IF(elapsed_years &lt; time_3, elapsed_years-time_2, time_3-time_2)),
     segment_4,      IF(elapsed_years &lt;= time_3, 0, elapsed_years-time_3),
     area_1,     efficacy_1 * segment_1,
     area_2,     (efficacy_1+efficacy_2)/2 * segment_2,
     area_3,     (efficacy_2+efficacy_3)/2 * segment_3,
     area_4,     efficacy_3 * segment_4,
     children_covered * case_rate * (area_1 + area_2 + area_3 + area_4)
   )
 )
</f>
        <v>2784.659901</v>
      </c>
      <c r="P2" s="24">
        <f t="array" ref="P2:P1131">IF(B2:B1131="","",
   LET(
     elapsed_years,        I2:I1131,
     children_covered,        H2:H1131,
     death_rate, VLOOKUP(B2:B1131, Countries!A:T, 19, FALSE)/1000000,
     time_1,     XLOOKUP(C2:C1131,'Vaccine efficacy curves'!A$2:A1131,'Vaccine efficacy curves'!B$2:B1131),
     efficacy_1,      XLOOKUP(C2:C1131,'Vaccine efficacy curves'!A$2:A1131,'Vaccine efficacy curves'!C$2:C1131),
     time_2,     XLOOKUP(C2:C1131,'Vaccine efficacy curves'!A$2:A1131,'Vaccine efficacy curves'!D$2:D1131),
     efficacy_2,      XLOOKUP(C2:C1131,'Vaccine efficacy curves'!A$2:A1131,'Vaccine efficacy curves'!E$2:E1131),
     time_3,     XLOOKUP(C2:C1131,'Vaccine efficacy curves'!A$2:A1131,'Vaccine efficacy curves'!F$2:F1131),
     efficacy_3,      XLOOKUP(C2:C1131,'Vaccine efficacy curves'!A$2:A1131,'Vaccine efficacy curves'!G$2:G1131),
     segment_1,      IF(elapsed_years &lt; time_1, elapsed_years, time_1),
     segment_2,      IF(elapsed_years &lt;= time_1, 0, IF(elapsed_years &lt; time_2, elapsed_years-time_1, time_2-time_1)),
     segment_3,      IF(elapsed_years &lt;= time_2, 0, IF(elapsed_years &lt; time_3, elapsed_years-time_2, time_3-time_2)),
     segment_4,      IF(elapsed_years &lt;= time_3, 0, elapsed_years-time_3),
     area_1,     efficacy_1 * segment_1,
     area_2,     (efficacy_1+efficacy_2)/2 * segment_2,
     area_3,     (efficacy_2+efficacy_3)/2 * segment_3,
     area_4,     efficacy_3 * segment_4,
     children_covered * death_rate * (area_1 + area_2 + area_3 + area_4)
   )
 )
</f>
        <v>60965.32989</v>
      </c>
      <c r="Q2" s="24">
        <f t="array" ref="Q2:Q1131">MAP(B2:B1131, C2:C1131, H2:H1131, I2:I1131,
 LAMBDA(country, vaccine_id, children_covered, elapsed_years,
  IF(country = "", ,
   LET(
    case_rate,  VLOOKUP(country, Countries!A:T, 19, FALSE) / 1000000,
    idx,        MATCH(vaccine_id, 'Vaccine efficacy curves'!A$2:A1131, 0),
    time_1,     INDEX('Vaccine efficacy curves'!B$2:B1131, idx),
    efficacy_1,      INDEX('Vaccine efficacy curves'!C$2:C1131, idx),
    time_2,     INDEX('Vaccine efficacy curves'!D$2:D1131, idx),
    efficacy_2,      INDEX('Vaccine efficacy curves'!E$2:E1131, idx),
    time_3,     INDEX('Vaccine efficacy curves'!F$2:F1131, idx),
    efficacy_3,      INDEX('Vaccine efficacy curves'!G$2:G1131, idx),
    delay,      0.25,
    years_after_delay,    MAX(elapsed_years - delay, 0),
    segment_1,      MIN(elapsed_years, time_1),
    segment_2,      MAX(MIN(elapsed_years, time_2) - time_1, 0),
    segment_3,      MAX(MIN(elapsed_years, time_3) - time_2, 0),
    segment_4,      MAX(elapsed_years - time_3, 0),
    segment0_1,     MIN(years_after_delay, time_1),
    segment0_2,     MAX(MIN(years_after_delay, time_2) - time_1, 0),
    segment0_3,     MAX(MIN(years_after_delay, time_3) - time_2, 0),
    segment0_4,     MAX(years_after_delay - time_3, 0),
    area,       efficacy_1*segment_1 + (efficacy_1+efficacy_2)/2*segment_2 + (efficacy_2+efficacy_3)/2*segment_3 + efficacy_3*segment_4,
    area0,      efficacy_1*segment0_1 + (efficacy_1+efficacy_2)/2*segment0_2 + (efficacy_2+efficacy_3)/2*segment0_3 + efficacy_3*segment0_4,
    children_covered * case_rate * (area - area0)
   )
  )
 ))
</f>
        <v>7274.137671</v>
      </c>
      <c r="R2" s="24">
        <f t="array" ref="R2:R1131">MAP(B2:B1131, C2:C1131, H2:H1131, I2:I1131,
 LAMBDA(country, vaccine_id, children_covered, elapsed_years,
  IF(country = "", ,
   LET(
    death_rate, VLOOKUP(country, Countries!A:T, 20, FALSE) / 1000000,
    idx,        MATCH(vaccine_id, 'Vaccine efficacy curves'!A$2:A1131, 0),
    time_1,     INDEX('Vaccine efficacy curves'!B$2:B1131, idx),
    efficacy_1,      INDEX('Vaccine efficacy curves'!C$2:C1131, idx),
    time_2,     INDEX('Vaccine efficacy curves'!D$2:D1131, idx),
    efficacy_2,      INDEX('Vaccine efficacy curves'!E$2:E1131, idx),
    time_3,     INDEX('Vaccine efficacy curves'!F$2:F1131, idx),
    efficacy_3,      INDEX('Vaccine efficacy curves'!G$2:G1131, idx),
    delay,      0.25,
    years_after_delay,    MAX(elapsed_years - delay, 0),
    segment_1,      MIN(elapsed_years, time_1),
    segment_2,      MAX(MIN(elapsed_years, time_2) - time_1, 0),
    segment_3,      MAX(MIN(elapsed_years, time_3) - time_2, 0),
    segment_4,      MAX(elapsed_years - time_3, 0),
    segment0_1,     MIN(years_after_delay, time_1),
    segment0_2,     MAX(MIN(years_after_delay, time_2) - time_1, 0),
    segment0_3,     MAX(MIN(years_after_delay, time_3) - time_2, 0),
    segment0_4,     MAX(years_after_delay - time_3, 0),
    area,       efficacy_1*segment_1 + (efficacy_1+efficacy_2)/2*segment_2 + (efficacy_2+efficacy_3)/2*segment_3 + efficacy_3*segment_4,
    area0,      efficacy_1*segment0_1 + (efficacy_1+efficacy_2)/2*segment0_2 + (efficacy_2+efficacy_3)/2*segment0_3 + efficacy_3*segment0_4,
    children_covered * death_rate * (area - area0)
   )
  )
 ))
</f>
        <v>14.42967248</v>
      </c>
    </row>
    <row r="3" ht="22.5" customHeight="1">
      <c r="A3" s="53">
        <v>45723.63464293981</v>
      </c>
      <c r="B3" s="3" t="s">
        <v>82</v>
      </c>
      <c r="C3" s="3" t="s">
        <v>142</v>
      </c>
      <c r="D3" s="3" t="s">
        <v>143</v>
      </c>
      <c r="E3" s="54">
        <v>45265.0</v>
      </c>
      <c r="F3" s="21">
        <v>331200.0</v>
      </c>
      <c r="G3" s="32" t="s">
        <v>144</v>
      </c>
      <c r="H3" s="22">
        <v>82800.0</v>
      </c>
      <c r="I3" s="55">
        <v>1.9451605197163182</v>
      </c>
      <c r="J3" s="25">
        <v>0.49194844258042514</v>
      </c>
      <c r="K3" s="22">
        <v>1046.421540953149</v>
      </c>
      <c r="L3" s="22">
        <v>23342.65452128444</v>
      </c>
      <c r="M3" s="24">
        <v>911.9311569531488</v>
      </c>
      <c r="N3" s="24">
        <v>20342.56091915222</v>
      </c>
      <c r="O3" s="24">
        <v>991.9436832795973</v>
      </c>
      <c r="P3" s="24">
        <v>22127.410223489205</v>
      </c>
      <c r="Q3" s="24">
        <v>2678.65500190377</v>
      </c>
      <c r="R3" s="24">
        <v>4.232263937497358</v>
      </c>
    </row>
    <row r="4" ht="22.5" customHeight="1">
      <c r="A4" s="53">
        <v>45723.63530648148</v>
      </c>
      <c r="B4" s="3" t="s">
        <v>97</v>
      </c>
      <c r="C4" s="3" t="s">
        <v>142</v>
      </c>
      <c r="D4" s="3" t="s">
        <v>143</v>
      </c>
      <c r="E4" s="54">
        <v>45260.0</v>
      </c>
      <c r="F4" s="21">
        <v>480000.0</v>
      </c>
      <c r="G4" s="32" t="s">
        <v>144</v>
      </c>
      <c r="H4" s="22">
        <v>120000.0</v>
      </c>
      <c r="I4" s="55">
        <v>1.958849773651979</v>
      </c>
      <c r="J4" s="25">
        <v>0.4909628162970575</v>
      </c>
      <c r="K4" s="22">
        <v>1509.0602557058307</v>
      </c>
      <c r="L4" s="22">
        <v>25524.189281797546</v>
      </c>
      <c r="M4" s="24">
        <v>1316.4650557058308</v>
      </c>
      <c r="N4" s="24">
        <v>22266.64120114362</v>
      </c>
      <c r="O4" s="24">
        <v>1429.9160283087772</v>
      </c>
      <c r="P4" s="24">
        <v>24185.546750456633</v>
      </c>
      <c r="Q4" s="24">
        <v>2908.525072012433</v>
      </c>
      <c r="R4" s="24">
        <v>5.089393799214708</v>
      </c>
    </row>
    <row r="5" ht="22.5" customHeight="1">
      <c r="A5" s="53">
        <v>45723.6357141551</v>
      </c>
      <c r="B5" s="3" t="s">
        <v>100</v>
      </c>
      <c r="C5" s="3" t="s">
        <v>142</v>
      </c>
      <c r="D5" s="3" t="s">
        <v>143</v>
      </c>
      <c r="E5" s="54">
        <v>45260.0</v>
      </c>
      <c r="F5" s="21">
        <v>320000.0</v>
      </c>
      <c r="G5" s="32" t="s">
        <v>144</v>
      </c>
      <c r="H5" s="22">
        <v>80000.0</v>
      </c>
      <c r="I5" s="55">
        <v>1.958849773651979</v>
      </c>
      <c r="J5" s="25">
        <v>0.4909628162970575</v>
      </c>
      <c r="K5" s="22">
        <v>1007.2687610485883</v>
      </c>
      <c r="L5" s="22">
        <v>5223.968547488261</v>
      </c>
      <c r="M5" s="24">
        <v>878.7151610485884</v>
      </c>
      <c r="N5" s="24">
        <v>4557.254767575858</v>
      </c>
      <c r="O5" s="24">
        <v>954.4415080790966</v>
      </c>
      <c r="P5" s="24">
        <v>4949.992108791262</v>
      </c>
      <c r="Q5" s="24">
        <v>595.2801606360731</v>
      </c>
      <c r="R5" s="24">
        <v>2.0741248640515764</v>
      </c>
    </row>
    <row r="6" ht="22.5" customHeight="1">
      <c r="A6" s="53">
        <v>45723.637067083335</v>
      </c>
      <c r="B6" s="3" t="s">
        <v>103</v>
      </c>
      <c r="C6" s="3" t="s">
        <v>142</v>
      </c>
      <c r="D6" s="3" t="s">
        <v>143</v>
      </c>
      <c r="E6" s="54">
        <v>45260.0</v>
      </c>
      <c r="F6" s="21">
        <v>370000.0</v>
      </c>
      <c r="G6" s="32" t="s">
        <v>144</v>
      </c>
      <c r="H6" s="22">
        <v>92500.0</v>
      </c>
      <c r="I6" s="55">
        <v>1.958849773651979</v>
      </c>
      <c r="J6" s="25">
        <v>0.4909628162970575</v>
      </c>
      <c r="K6" s="22">
        <v>748.4310531976726</v>
      </c>
      <c r="L6" s="22">
        <v>23126.294676635436</v>
      </c>
      <c r="M6" s="24">
        <v>652.9118531976725</v>
      </c>
      <c r="N6" s="24">
        <v>20174.780095514707</v>
      </c>
      <c r="O6" s="24">
        <v>709.1788117836361</v>
      </c>
      <c r="P6" s="24">
        <v>21913.41221033338</v>
      </c>
      <c r="Q6" s="24">
        <v>2635.28087600065</v>
      </c>
      <c r="R6" s="24">
        <v>4.041084732617456</v>
      </c>
    </row>
    <row r="7" ht="22.5" customHeight="1">
      <c r="A7" s="53">
        <v>45723.637586956014</v>
      </c>
      <c r="B7" s="3" t="s">
        <v>108</v>
      </c>
      <c r="C7" s="3" t="s">
        <v>142</v>
      </c>
      <c r="D7" s="3" t="s">
        <v>143</v>
      </c>
      <c r="E7" s="54">
        <v>45266.0</v>
      </c>
      <c r="F7" s="21">
        <v>285000.0</v>
      </c>
      <c r="G7" s="32" t="s">
        <v>144</v>
      </c>
      <c r="H7" s="22">
        <v>71250.0</v>
      </c>
      <c r="I7" s="55">
        <v>1.9424226689291861</v>
      </c>
      <c r="J7" s="25">
        <v>0.4921455678370986</v>
      </c>
      <c r="K7" s="22">
        <v>2742.1217723304035</v>
      </c>
      <c r="L7" s="22">
        <v>23649.442076148487</v>
      </c>
      <c r="M7" s="24">
        <v>2389.1962973304035</v>
      </c>
      <c r="N7" s="24">
        <v>20605.63466306034</v>
      </c>
      <c r="O7" s="24">
        <v>2599.576786009289</v>
      </c>
      <c r="P7" s="24">
        <v>22420.062173598926</v>
      </c>
      <c r="Q7" s="24">
        <v>2717.6851902572766</v>
      </c>
      <c r="R7" s="24">
        <v>12.045628184959819</v>
      </c>
    </row>
    <row r="8" ht="22.5" customHeight="1">
      <c r="A8" s="53">
        <v>45723.63796122685</v>
      </c>
      <c r="B8" s="3" t="s">
        <v>113</v>
      </c>
      <c r="C8" s="3" t="s">
        <v>142</v>
      </c>
      <c r="D8" s="3" t="s">
        <v>143</v>
      </c>
      <c r="E8" s="54">
        <v>45278.0</v>
      </c>
      <c r="F8" s="21">
        <v>550000.0</v>
      </c>
      <c r="G8" s="32" t="s">
        <v>144</v>
      </c>
      <c r="H8" s="22">
        <v>137500.0</v>
      </c>
      <c r="I8" s="55">
        <v>1.9095684594836009</v>
      </c>
      <c r="J8" s="25">
        <v>0.4945110709171808</v>
      </c>
      <c r="K8" s="22">
        <v>975.5889781078744</v>
      </c>
      <c r="L8" s="22">
        <v>43097.571412084304</v>
      </c>
      <c r="M8" s="24">
        <v>847.8652281078744</v>
      </c>
      <c r="N8" s="24">
        <v>37455.25322259412</v>
      </c>
      <c r="O8" s="24">
        <v>925.8003375963162</v>
      </c>
      <c r="P8" s="24">
        <v>40898.11084199963</v>
      </c>
      <c r="Q8" s="24">
        <v>5037.78409775909</v>
      </c>
      <c r="R8" s="24">
        <v>13.478978872673414</v>
      </c>
    </row>
    <row r="9" ht="22.5" customHeight="1">
      <c r="A9" s="53">
        <v>45723.64291672454</v>
      </c>
      <c r="B9" s="3" t="s">
        <v>73</v>
      </c>
      <c r="C9" s="3" t="s">
        <v>142</v>
      </c>
      <c r="D9" s="3" t="s">
        <v>143</v>
      </c>
      <c r="E9" s="54">
        <v>45306.0</v>
      </c>
      <c r="F9" s="21">
        <v>215900.0</v>
      </c>
      <c r="G9" s="32" t="s">
        <v>144</v>
      </c>
      <c r="H9" s="22">
        <v>53975.0</v>
      </c>
      <c r="I9" s="55">
        <v>1.832908637443902</v>
      </c>
      <c r="J9" s="25">
        <v>0.5000305781040391</v>
      </c>
      <c r="K9" s="22">
        <v>550.0260570075666</v>
      </c>
      <c r="L9" s="22">
        <v>20132.67313810099</v>
      </c>
      <c r="M9" s="24">
        <v>475.00512500756656</v>
      </c>
      <c r="N9" s="24">
        <v>17386.672501896723</v>
      </c>
      <c r="O9" s="24">
        <v>523.2465217567558</v>
      </c>
      <c r="P9" s="24">
        <v>19152.458431677707</v>
      </c>
      <c r="Q9" s="24">
        <v>2451.786282325236</v>
      </c>
      <c r="R9" s="24">
        <v>4.746850939484662</v>
      </c>
    </row>
    <row r="10" ht="22.5" customHeight="1">
      <c r="A10" s="53">
        <v>45723.64363715278</v>
      </c>
      <c r="B10" s="3" t="s">
        <v>73</v>
      </c>
      <c r="C10" s="3" t="s">
        <v>142</v>
      </c>
      <c r="D10" s="3" t="s">
        <v>143</v>
      </c>
      <c r="E10" s="54">
        <v>45446.0</v>
      </c>
      <c r="F10" s="21">
        <v>216100.0</v>
      </c>
      <c r="G10" s="32" t="s">
        <v>144</v>
      </c>
      <c r="H10" s="22">
        <v>54025.0</v>
      </c>
      <c r="I10" s="55">
        <v>1.449609527245408</v>
      </c>
      <c r="J10" s="25">
        <v>0.5276281140383307</v>
      </c>
      <c r="K10" s="22">
        <v>435.40719933494137</v>
      </c>
      <c r="L10" s="22">
        <v>15937.264634111261</v>
      </c>
      <c r="M10" s="24">
        <v>360.3167713349414</v>
      </c>
      <c r="N10" s="24">
        <v>13188.720227053635</v>
      </c>
      <c r="O10" s="24">
        <v>420.9380399776262</v>
      </c>
      <c r="P10" s="24">
        <v>15407.648169195467</v>
      </c>
      <c r="Q10" s="24">
        <v>2454.0575063014517</v>
      </c>
      <c r="R10" s="24">
        <v>4.751248207608316</v>
      </c>
    </row>
    <row r="11" ht="22.5" customHeight="1">
      <c r="A11" s="53">
        <v>45723.6440416088</v>
      </c>
      <c r="B11" s="3" t="s">
        <v>73</v>
      </c>
      <c r="C11" s="3" t="s">
        <v>142</v>
      </c>
      <c r="D11" s="3" t="s">
        <v>145</v>
      </c>
      <c r="E11" s="54">
        <v>45588.0</v>
      </c>
      <c r="F11" s="21">
        <v>9400.0</v>
      </c>
      <c r="G11" s="32" t="s">
        <v>144</v>
      </c>
      <c r="H11" s="22">
        <v>2350.0</v>
      </c>
      <c r="I11" s="55">
        <v>1.0608347154726496</v>
      </c>
      <c r="J11" s="25">
        <v>0.5556199004859693</v>
      </c>
      <c r="K11" s="22">
        <v>13.860068644659606</v>
      </c>
      <c r="L11" s="22">
        <v>507.3218407373298</v>
      </c>
      <c r="M11" s="24">
        <v>10.593756644659605</v>
      </c>
      <c r="N11" s="24">
        <v>387.76461062931645</v>
      </c>
      <c r="O11" s="24">
        <v>13.774909289874648</v>
      </c>
      <c r="P11" s="24">
        <v>504.20474213319307</v>
      </c>
      <c r="Q11" s="24">
        <v>116.44013150387659</v>
      </c>
      <c r="R11" s="24">
        <v>0.22543724614475752</v>
      </c>
    </row>
    <row r="12" ht="22.5" customHeight="1">
      <c r="A12" s="53">
        <v>45723.64430774306</v>
      </c>
      <c r="B12" s="3" t="s">
        <v>73</v>
      </c>
      <c r="C12" s="3" t="s">
        <v>142</v>
      </c>
      <c r="D12" s="3" t="s">
        <v>143</v>
      </c>
      <c r="E12" s="54">
        <v>45631.0</v>
      </c>
      <c r="F12" s="21">
        <v>300000.0</v>
      </c>
      <c r="G12" s="32" t="s">
        <v>144</v>
      </c>
      <c r="H12" s="22">
        <v>75000.0</v>
      </c>
      <c r="I12" s="55">
        <v>0.9431071316259693</v>
      </c>
      <c r="J12" s="25">
        <v>0.56</v>
      </c>
      <c r="K12" s="22">
        <v>393.2530393168702</v>
      </c>
      <c r="L12" s="22">
        <v>14394.290598167801</v>
      </c>
      <c r="M12" s="24">
        <v>289.00903931687014</v>
      </c>
      <c r="N12" s="24">
        <v>10578.634318124821</v>
      </c>
      <c r="O12" s="24">
        <v>393.2530393168702</v>
      </c>
      <c r="P12" s="24">
        <v>14394.290598167801</v>
      </c>
      <c r="Q12" s="24">
        <v>3815.6562800429806</v>
      </c>
      <c r="R12" s="24">
        <v>7.387410447738986</v>
      </c>
    </row>
    <row r="13" ht="22.5" customHeight="1">
      <c r="A13" s="53">
        <v>45723.64468884259</v>
      </c>
      <c r="B13" s="3" t="s">
        <v>79</v>
      </c>
      <c r="C13" s="3" t="s">
        <v>142</v>
      </c>
      <c r="D13" s="3" t="s">
        <v>143</v>
      </c>
      <c r="E13" s="54">
        <v>45400.0</v>
      </c>
      <c r="F13" s="21">
        <v>200800.0</v>
      </c>
      <c r="G13" s="32" t="s">
        <v>144</v>
      </c>
      <c r="H13" s="22">
        <v>50200.0</v>
      </c>
      <c r="I13" s="55">
        <v>1.5755506634534846</v>
      </c>
      <c r="J13" s="25">
        <v>0.5185603522313491</v>
      </c>
      <c r="K13" s="22">
        <v>715.1366985327165</v>
      </c>
      <c r="L13" s="22">
        <v>15656.685663076614</v>
      </c>
      <c r="M13" s="24">
        <v>601.6626105327165</v>
      </c>
      <c r="N13" s="24">
        <v>13172.366049266422</v>
      </c>
      <c r="O13" s="24">
        <v>687.1466614042112</v>
      </c>
      <c r="P13" s="24">
        <v>15043.89203366563</v>
      </c>
      <c r="Q13" s="24">
        <v>2218.142512330529</v>
      </c>
      <c r="R13" s="24">
        <v>4.400118805985084</v>
      </c>
    </row>
    <row r="14" ht="22.5" customHeight="1">
      <c r="A14" s="53">
        <v>45723.64500554398</v>
      </c>
      <c r="B14" s="3" t="s">
        <v>79</v>
      </c>
      <c r="C14" s="3" t="s">
        <v>142</v>
      </c>
      <c r="D14" s="3" t="s">
        <v>145</v>
      </c>
      <c r="E14" s="54">
        <v>45442.0</v>
      </c>
      <c r="F14" s="21">
        <v>18800.0</v>
      </c>
      <c r="G14" s="32" t="s">
        <v>144</v>
      </c>
      <c r="H14" s="22">
        <v>4700.0</v>
      </c>
      <c r="I14" s="55">
        <v>1.4605609303939364</v>
      </c>
      <c r="J14" s="25">
        <v>0.5268396130116366</v>
      </c>
      <c r="K14" s="22">
        <v>62.068394570593796</v>
      </c>
      <c r="L14" s="22">
        <v>1358.8805404581549</v>
      </c>
      <c r="M14" s="24">
        <v>51.444326570593795</v>
      </c>
      <c r="N14" s="24">
        <v>1126.2848794042125</v>
      </c>
      <c r="O14" s="24">
        <v>59.97138143803017</v>
      </c>
      <c r="P14" s="24">
        <v>1312.970051575042</v>
      </c>
      <c r="Q14" s="24">
        <v>207.67469736959134</v>
      </c>
      <c r="R14" s="24">
        <v>0.41196331450457957</v>
      </c>
    </row>
    <row r="15" ht="22.5" customHeight="1">
      <c r="A15" s="53">
        <v>45723.645726319446</v>
      </c>
      <c r="B15" s="3" t="s">
        <v>82</v>
      </c>
      <c r="C15" s="3" t="s">
        <v>142</v>
      </c>
      <c r="D15" s="3" t="s">
        <v>143</v>
      </c>
      <c r="E15" s="54">
        <v>45379.0</v>
      </c>
      <c r="F15" s="21">
        <v>316600.0</v>
      </c>
      <c r="G15" s="32" t="s">
        <v>144</v>
      </c>
      <c r="H15" s="22">
        <v>79150.0</v>
      </c>
      <c r="I15" s="55">
        <v>1.6330455299832587</v>
      </c>
      <c r="J15" s="25">
        <v>0.5144207218412054</v>
      </c>
      <c r="K15" s="22">
        <v>839.7888430434864</v>
      </c>
      <c r="L15" s="22">
        <v>18733.273414973533</v>
      </c>
      <c r="M15" s="24">
        <v>711.2270810434864</v>
      </c>
      <c r="N15" s="24">
        <v>15865.430315833859</v>
      </c>
      <c r="O15" s="24">
        <v>804.9093650031127</v>
      </c>
      <c r="P15" s="24">
        <v>17955.212591571948</v>
      </c>
      <c r="Q15" s="24">
        <v>2560.574195660425</v>
      </c>
      <c r="R15" s="24">
        <v>4.045696747015889</v>
      </c>
    </row>
    <row r="16" ht="22.5" customHeight="1">
      <c r="A16" s="53">
        <v>45723.645987905096</v>
      </c>
      <c r="B16" s="3" t="s">
        <v>82</v>
      </c>
      <c r="C16" s="3" t="s">
        <v>142</v>
      </c>
      <c r="D16" s="3" t="s">
        <v>145</v>
      </c>
      <c r="E16" s="54">
        <v>45624.0</v>
      </c>
      <c r="F16" s="21">
        <v>14000.0</v>
      </c>
      <c r="G16" s="32" t="s">
        <v>144</v>
      </c>
      <c r="H16" s="22">
        <v>3500.0</v>
      </c>
      <c r="I16" s="55">
        <v>0.962272087135894</v>
      </c>
      <c r="J16" s="25">
        <v>0.56</v>
      </c>
      <c r="K16" s="22">
        <v>21.88199027970326</v>
      </c>
      <c r="L16" s="22">
        <v>488.1242590552584</v>
      </c>
      <c r="M16" s="24">
        <v>16.19701027970326</v>
      </c>
      <c r="N16" s="24">
        <v>361.3087082404906</v>
      </c>
      <c r="O16" s="24">
        <v>21.88199027970326</v>
      </c>
      <c r="P16" s="24">
        <v>488.12425905525834</v>
      </c>
      <c r="Q16" s="24">
        <v>126.81555081476776</v>
      </c>
      <c r="R16" s="24">
        <v>0.20036805114721776</v>
      </c>
    </row>
    <row r="17" ht="22.5" customHeight="1">
      <c r="A17" s="53">
        <v>45723.64621247685</v>
      </c>
      <c r="B17" s="3" t="s">
        <v>82</v>
      </c>
      <c r="C17" s="3" t="s">
        <v>142</v>
      </c>
      <c r="D17" s="3" t="s">
        <v>143</v>
      </c>
      <c r="E17" s="54">
        <v>45643.0</v>
      </c>
      <c r="F17" s="21">
        <v>300000.0</v>
      </c>
      <c r="G17" s="32" t="s">
        <v>144</v>
      </c>
      <c r="H17" s="22">
        <v>75000.0</v>
      </c>
      <c r="I17" s="55">
        <v>0.9102529221803842</v>
      </c>
      <c r="J17" s="25">
        <v>0.56</v>
      </c>
      <c r="K17" s="22">
        <v>443.55168493174637</v>
      </c>
      <c r="L17" s="22">
        <v>9894.362203462058</v>
      </c>
      <c r="M17" s="24">
        <v>321.7306849317464</v>
      </c>
      <c r="N17" s="24">
        <v>7176.8861145741785</v>
      </c>
      <c r="O17" s="24">
        <v>443.55168493174637</v>
      </c>
      <c r="P17" s="24">
        <v>9894.362203462058</v>
      </c>
      <c r="Q17" s="24">
        <v>2717.4760888878805</v>
      </c>
      <c r="R17" s="24">
        <v>4.293601096011809</v>
      </c>
    </row>
    <row r="18" ht="22.5" customHeight="1">
      <c r="A18" s="53">
        <v>45723.6465734375</v>
      </c>
      <c r="B18" s="3" t="s">
        <v>83</v>
      </c>
      <c r="C18" s="3" t="s">
        <v>146</v>
      </c>
      <c r="D18" s="3" t="s">
        <v>143</v>
      </c>
      <c r="E18" s="54">
        <v>45436.0</v>
      </c>
      <c r="F18" s="21">
        <v>163800.0</v>
      </c>
      <c r="G18" s="32" t="s">
        <v>144</v>
      </c>
      <c r="H18" s="22">
        <v>40950.0</v>
      </c>
      <c r="I18" s="55">
        <v>1.476988035116729</v>
      </c>
      <c r="J18" s="25">
        <v>0.7040047251851725</v>
      </c>
      <c r="K18" s="22">
        <v>229.16879888409588</v>
      </c>
      <c r="L18" s="22">
        <v>13860.023635783296</v>
      </c>
      <c r="M18" s="24">
        <v>190.37891138409586</v>
      </c>
      <c r="N18" s="24">
        <v>11514.029066726427</v>
      </c>
      <c r="O18" s="24">
        <v>221.23923650365705</v>
      </c>
      <c r="P18" s="24">
        <v>13380.44734725946</v>
      </c>
      <c r="Q18" s="24">
        <v>2094.6380080864915</v>
      </c>
      <c r="R18" s="24">
        <v>6.721856549931878</v>
      </c>
    </row>
    <row r="19" ht="22.5" customHeight="1">
      <c r="A19" s="53">
        <v>45723.647219942126</v>
      </c>
      <c r="B19" s="3" t="s">
        <v>84</v>
      </c>
      <c r="C19" s="3" t="s">
        <v>146</v>
      </c>
      <c r="D19" s="3" t="s">
        <v>143</v>
      </c>
      <c r="E19" s="54">
        <v>45469.0</v>
      </c>
      <c r="F19" s="21">
        <v>157900.0</v>
      </c>
      <c r="G19" s="32" t="s">
        <v>144</v>
      </c>
      <c r="H19" s="22">
        <v>39475.0</v>
      </c>
      <c r="I19" s="55">
        <v>1.3866389591413697</v>
      </c>
      <c r="J19" s="25">
        <v>0.7127169575113679</v>
      </c>
      <c r="K19" s="22">
        <v>562.7159339296733</v>
      </c>
      <c r="L19" s="22">
        <v>8386.172708081736</v>
      </c>
      <c r="M19" s="24">
        <v>461.26271674217327</v>
      </c>
      <c r="N19" s="24">
        <v>6874.212321278059</v>
      </c>
      <c r="O19" s="24">
        <v>545.9048912318511</v>
      </c>
      <c r="P19" s="24">
        <v>8135.6372265602695</v>
      </c>
      <c r="Q19" s="24">
        <v>1349.964631074712</v>
      </c>
      <c r="R19" s="24">
        <v>4.688800121563676</v>
      </c>
    </row>
    <row r="20" ht="22.5" customHeight="1">
      <c r="A20" s="53">
        <v>45723.64745253472</v>
      </c>
      <c r="B20" s="3" t="s">
        <v>84</v>
      </c>
      <c r="C20" s="3" t="s">
        <v>146</v>
      </c>
      <c r="D20" s="3" t="s">
        <v>145</v>
      </c>
      <c r="E20" s="54">
        <v>45590.0</v>
      </c>
      <c r="F20" s="21">
        <v>8000.0</v>
      </c>
      <c r="G20" s="32" t="s">
        <v>144</v>
      </c>
      <c r="H20" s="22">
        <v>2000.0</v>
      </c>
      <c r="I20" s="55">
        <v>1.0553590138983855</v>
      </c>
      <c r="J20" s="25">
        <v>0.7446618093740842</v>
      </c>
      <c r="K20" s="22">
        <v>21.698709005257754</v>
      </c>
      <c r="L20" s="22">
        <v>323.37652141771764</v>
      </c>
      <c r="M20" s="24">
        <v>16.558584005257757</v>
      </c>
      <c r="N20" s="24">
        <v>246.77308193431412</v>
      </c>
      <c r="O20" s="24">
        <v>21.576758040408713</v>
      </c>
      <c r="P20" s="24">
        <v>321.5590824729923</v>
      </c>
      <c r="Q20" s="24">
        <v>74.78600053867821</v>
      </c>
      <c r="R20" s="24">
        <v>0.2597524411716301</v>
      </c>
    </row>
    <row r="21" ht="22.5" customHeight="1">
      <c r="A21" s="53">
        <v>45723.648070752315</v>
      </c>
      <c r="B21" s="3" t="s">
        <v>88</v>
      </c>
      <c r="C21" s="3" t="s">
        <v>146</v>
      </c>
      <c r="D21" s="3" t="s">
        <v>143</v>
      </c>
      <c r="E21" s="54">
        <v>45469.0</v>
      </c>
      <c r="F21" s="21">
        <v>655600.0</v>
      </c>
      <c r="G21" s="32" t="s">
        <v>144</v>
      </c>
      <c r="H21" s="22">
        <v>163900.0</v>
      </c>
      <c r="I21" s="55">
        <v>1.3866389591413697</v>
      </c>
      <c r="J21" s="25">
        <v>0.7127169575113679</v>
      </c>
      <c r="K21" s="22">
        <v>1835.94489053897</v>
      </c>
      <c r="L21" s="22">
        <v>42856.570930296875</v>
      </c>
      <c r="M21" s="24">
        <v>1504.9385967889698</v>
      </c>
      <c r="N21" s="24">
        <v>35129.87130027307</v>
      </c>
      <c r="O21" s="24">
        <v>1781.096349588366</v>
      </c>
      <c r="P21" s="24">
        <v>41576.238172060985</v>
      </c>
      <c r="Q21" s="24">
        <v>6898.8389553784</v>
      </c>
      <c r="R21" s="24">
        <v>9.48291775636594</v>
      </c>
    </row>
    <row r="22" ht="22.5" customHeight="1">
      <c r="A22" s="53">
        <v>45723.64838333333</v>
      </c>
      <c r="B22" s="3" t="s">
        <v>88</v>
      </c>
      <c r="C22" s="3" t="s">
        <v>146</v>
      </c>
      <c r="D22" s="3" t="s">
        <v>145</v>
      </c>
      <c r="E22" s="54">
        <v>45553.0</v>
      </c>
      <c r="F22" s="21">
        <v>201300.0</v>
      </c>
      <c r="G22" s="32" t="s">
        <v>144</v>
      </c>
      <c r="H22" s="22">
        <v>50325.0</v>
      </c>
      <c r="I22" s="55">
        <v>1.156659493022273</v>
      </c>
      <c r="J22" s="25">
        <v>0.734893548887138</v>
      </c>
      <c r="K22" s="22">
        <v>470.2259574539487</v>
      </c>
      <c r="L22" s="22">
        <v>10976.512531907158</v>
      </c>
      <c r="M22" s="24">
        <v>368.5914746414487</v>
      </c>
      <c r="N22" s="24">
        <v>8604.05274617837</v>
      </c>
      <c r="O22" s="24">
        <v>463.4022403606685</v>
      </c>
      <c r="P22" s="24">
        <v>10817.226097372297</v>
      </c>
      <c r="Q22" s="24">
        <v>2213.173351193928</v>
      </c>
      <c r="R22" s="24">
        <v>3.042155499744037</v>
      </c>
    </row>
    <row r="23" ht="22.5" customHeight="1">
      <c r="A23" s="53">
        <v>45723.64872153936</v>
      </c>
      <c r="B23" s="3" t="s">
        <v>90</v>
      </c>
      <c r="C23" s="3" t="s">
        <v>146</v>
      </c>
      <c r="D23" s="3" t="s">
        <v>143</v>
      </c>
      <c r="E23" s="54">
        <v>45456.0</v>
      </c>
      <c r="F23" s="21">
        <v>693500.0</v>
      </c>
      <c r="G23" s="32" t="s">
        <v>144</v>
      </c>
      <c r="H23" s="22">
        <v>173375.0</v>
      </c>
      <c r="I23" s="55">
        <v>1.422231019374087</v>
      </c>
      <c r="J23" s="25">
        <v>0.7092848659889274</v>
      </c>
      <c r="K23" s="22">
        <v>12476.41957238354</v>
      </c>
      <c r="L23" s="22">
        <v>57934.10721925318</v>
      </c>
      <c r="M23" s="24">
        <v>10283.312509883539</v>
      </c>
      <c r="N23" s="24">
        <v>47750.44042566336</v>
      </c>
      <c r="O23" s="24">
        <v>12079.563359271016</v>
      </c>
      <c r="P23" s="24">
        <v>56091.310071585984</v>
      </c>
      <c r="Q23" s="24">
        <v>9092.559637133778</v>
      </c>
      <c r="R23" s="24">
        <v>18.50965388884081</v>
      </c>
    </row>
    <row r="24" ht="22.5" customHeight="1">
      <c r="A24" s="53">
        <v>45723.64895618055</v>
      </c>
      <c r="B24" s="3" t="s">
        <v>90</v>
      </c>
      <c r="C24" s="3" t="s">
        <v>146</v>
      </c>
      <c r="D24" s="3" t="s">
        <v>145</v>
      </c>
      <c r="E24" s="54">
        <v>45625.0</v>
      </c>
      <c r="F24" s="21">
        <v>35000.0</v>
      </c>
      <c r="G24" s="32" t="s">
        <v>144</v>
      </c>
      <c r="H24" s="22">
        <v>8750.0</v>
      </c>
      <c r="I24" s="55">
        <v>0.9595342363487619</v>
      </c>
      <c r="J24" s="25">
        <v>0.75</v>
      </c>
      <c r="K24" s="22">
        <v>424.8169912942782</v>
      </c>
      <c r="L24" s="22">
        <v>1972.6326915680522</v>
      </c>
      <c r="M24" s="24">
        <v>314.1338662942782</v>
      </c>
      <c r="N24" s="24">
        <v>1458.676905301803</v>
      </c>
      <c r="O24" s="24">
        <v>424.8169912942782</v>
      </c>
      <c r="P24" s="24">
        <v>1972.6326915680518</v>
      </c>
      <c r="Q24" s="24">
        <v>513.9557862662493</v>
      </c>
      <c r="R24" s="24">
        <v>1.0462558506742021</v>
      </c>
    </row>
    <row r="25" ht="22.5" customHeight="1">
      <c r="A25" s="53">
        <v>45723.649565370375</v>
      </c>
      <c r="B25" s="3" t="s">
        <v>97</v>
      </c>
      <c r="C25" s="3" t="s">
        <v>142</v>
      </c>
      <c r="D25" s="3" t="s">
        <v>143</v>
      </c>
      <c r="E25" s="54">
        <v>45350.0</v>
      </c>
      <c r="F25" s="21">
        <v>460000.0</v>
      </c>
      <c r="G25" s="32" t="s">
        <v>144</v>
      </c>
      <c r="H25" s="22">
        <v>115000.0</v>
      </c>
      <c r="I25" s="55">
        <v>1.7124432028100898</v>
      </c>
      <c r="J25" s="25">
        <v>0.5087040893976735</v>
      </c>
      <c r="K25" s="22">
        <v>1264.2653076797578</v>
      </c>
      <c r="L25" s="22">
        <v>21383.73659608102</v>
      </c>
      <c r="M25" s="24">
        <v>1079.6949076797578</v>
      </c>
      <c r="N25" s="24">
        <v>18261.919685454337</v>
      </c>
      <c r="O25" s="24">
        <v>1207.9099104283553</v>
      </c>
      <c r="P25" s="24">
        <v>20430.543493912344</v>
      </c>
      <c r="Q25" s="24">
        <v>2787.3365273452514</v>
      </c>
      <c r="R25" s="24">
        <v>4.877335724247433</v>
      </c>
    </row>
    <row r="26" ht="22.5" customHeight="1">
      <c r="A26" s="53">
        <v>45723.64983976852</v>
      </c>
      <c r="B26" s="3" t="s">
        <v>97</v>
      </c>
      <c r="C26" s="3" t="s">
        <v>142</v>
      </c>
      <c r="D26" s="3" t="s">
        <v>143</v>
      </c>
      <c r="E26" s="54">
        <v>45460.0</v>
      </c>
      <c r="F26" s="21">
        <v>184400.0</v>
      </c>
      <c r="G26" s="32" t="s">
        <v>144</v>
      </c>
      <c r="H26" s="22">
        <v>46100.0</v>
      </c>
      <c r="I26" s="55">
        <v>1.4112796162255585</v>
      </c>
      <c r="J26" s="25">
        <v>0.5303878676317598</v>
      </c>
      <c r="K26" s="22">
        <v>417.6747281788995</v>
      </c>
      <c r="L26" s="22">
        <v>7064.534885172763</v>
      </c>
      <c r="M26" s="24">
        <v>343.6860721788995</v>
      </c>
      <c r="N26" s="24">
        <v>5813.093497521546</v>
      </c>
      <c r="O26" s="24">
        <v>404.633288445446</v>
      </c>
      <c r="P26" s="24">
        <v>6843.95245646906</v>
      </c>
      <c r="Q26" s="24">
        <v>1117.3583818314441</v>
      </c>
      <c r="R26" s="24">
        <v>1.9551754511983188</v>
      </c>
    </row>
    <row r="27" ht="22.5" customHeight="1">
      <c r="A27" s="53">
        <v>45723.6500565162</v>
      </c>
      <c r="B27" s="3" t="s">
        <v>97</v>
      </c>
      <c r="C27" s="3" t="s">
        <v>142</v>
      </c>
      <c r="D27" s="3" t="s">
        <v>145</v>
      </c>
      <c r="E27" s="54">
        <v>45596.0</v>
      </c>
      <c r="F27" s="21">
        <v>195600.0</v>
      </c>
      <c r="G27" s="32" t="s">
        <v>144</v>
      </c>
      <c r="H27" s="22">
        <v>48900.0</v>
      </c>
      <c r="I27" s="55">
        <v>1.0389319091755929</v>
      </c>
      <c r="J27" s="25">
        <v>0.5571969025393574</v>
      </c>
      <c r="K27" s="22">
        <v>326.1520770995099</v>
      </c>
      <c r="L27" s="22">
        <v>5516.524154064072</v>
      </c>
      <c r="M27" s="24">
        <v>247.6695330995099</v>
      </c>
      <c r="N27" s="24">
        <v>4189.073311197595</v>
      </c>
      <c r="O27" s="24">
        <v>324.842587695991</v>
      </c>
      <c r="P27" s="24">
        <v>5494.375498785696</v>
      </c>
      <c r="Q27" s="24">
        <v>1305.302187588101</v>
      </c>
      <c r="R27" s="24">
        <v>2.284043181727084</v>
      </c>
    </row>
    <row r="28" ht="22.5" customHeight="1">
      <c r="A28" s="53">
        <v>45723.65039603009</v>
      </c>
      <c r="B28" s="3" t="s">
        <v>97</v>
      </c>
      <c r="C28" s="3" t="s">
        <v>142</v>
      </c>
      <c r="D28" s="3" t="s">
        <v>145</v>
      </c>
      <c r="E28" s="54">
        <v>45567.0</v>
      </c>
      <c r="F28" s="21">
        <v>80000.0</v>
      </c>
      <c r="G28" s="32" t="s">
        <v>144</v>
      </c>
      <c r="H28" s="22">
        <v>20000.0</v>
      </c>
      <c r="I28" s="55">
        <v>1.1183295820024237</v>
      </c>
      <c r="J28" s="25">
        <v>0.5514802700958256</v>
      </c>
      <c r="K28" s="22">
        <v>143.5899396744488</v>
      </c>
      <c r="L28" s="22">
        <v>2428.674922260337</v>
      </c>
      <c r="M28" s="24">
        <v>111.4907396744488</v>
      </c>
      <c r="N28" s="24">
        <v>1885.750242151349</v>
      </c>
      <c r="O28" s="24">
        <v>141.96210328075787</v>
      </c>
      <c r="P28" s="24">
        <v>2401.141757779153</v>
      </c>
      <c r="Q28" s="24">
        <v>515.3915156278041</v>
      </c>
      <c r="R28" s="24">
        <v>0.9018421085808689</v>
      </c>
    </row>
    <row r="29" ht="22.5" customHeight="1">
      <c r="A29" s="53">
        <v>45723.65067498843</v>
      </c>
      <c r="B29" s="3" t="s">
        <v>97</v>
      </c>
      <c r="C29" s="3" t="s">
        <v>146</v>
      </c>
      <c r="D29" s="3" t="s">
        <v>143</v>
      </c>
      <c r="E29" s="54">
        <v>45534.0</v>
      </c>
      <c r="F29" s="21">
        <v>544300.0</v>
      </c>
      <c r="G29" s="32" t="s">
        <v>144</v>
      </c>
      <c r="H29" s="22">
        <v>136075.0</v>
      </c>
      <c r="I29" s="55">
        <v>1.208678657977783</v>
      </c>
      <c r="J29" s="25">
        <v>0.729877415123571</v>
      </c>
      <c r="K29" s="22">
        <v>1414.1212142084423</v>
      </c>
      <c r="L29" s="22">
        <v>23918.393849673896</v>
      </c>
      <c r="M29" s="24">
        <v>1121.6280017084423</v>
      </c>
      <c r="N29" s="24">
        <v>18971.17448499774</v>
      </c>
      <c r="O29" s="24">
        <v>1387.9624609003947</v>
      </c>
      <c r="P29" s="24">
        <v>23475.945664927185</v>
      </c>
      <c r="Q29" s="24">
        <v>4504.7711799294475</v>
      </c>
      <c r="R29" s="24">
        <v>7.882536317333848</v>
      </c>
    </row>
    <row r="30" ht="22.5" customHeight="1">
      <c r="A30" s="53">
        <v>45723.651119155096</v>
      </c>
      <c r="B30" s="3" t="s">
        <v>100</v>
      </c>
      <c r="C30" s="3" t="s">
        <v>142</v>
      </c>
      <c r="D30" s="3" t="s">
        <v>143</v>
      </c>
      <c r="E30" s="54">
        <v>45392.0</v>
      </c>
      <c r="F30" s="21">
        <v>314700.0</v>
      </c>
      <c r="G30" s="32" t="s">
        <v>144</v>
      </c>
      <c r="H30" s="22">
        <v>78675.0</v>
      </c>
      <c r="I30" s="55">
        <v>1.5974534697505414</v>
      </c>
      <c r="J30" s="25">
        <v>0.516983350177961</v>
      </c>
      <c r="K30" s="22">
        <v>807.8285838487517</v>
      </c>
      <c r="L30" s="22">
        <v>4189.617783236598</v>
      </c>
      <c r="M30" s="24">
        <v>681.4041528487517</v>
      </c>
      <c r="N30" s="24">
        <v>3533.9464503039953</v>
      </c>
      <c r="O30" s="24">
        <v>775.4574202935283</v>
      </c>
      <c r="P30" s="24">
        <v>4021.732163432365</v>
      </c>
      <c r="Q30" s="24">
        <v>585.4208329755387</v>
      </c>
      <c r="R30" s="24">
        <v>2.0397721709907235</v>
      </c>
    </row>
    <row r="31" ht="22.5" customHeight="1">
      <c r="A31" s="53">
        <v>45723.651398622686</v>
      </c>
      <c r="B31" s="3" t="s">
        <v>100</v>
      </c>
      <c r="C31" s="3" t="s">
        <v>142</v>
      </c>
      <c r="D31" s="3" t="s">
        <v>143</v>
      </c>
      <c r="E31" s="54">
        <v>45643.0</v>
      </c>
      <c r="F31" s="21">
        <v>243700.0</v>
      </c>
      <c r="G31" s="32" t="s">
        <v>144</v>
      </c>
      <c r="H31" s="22">
        <v>60925.0</v>
      </c>
      <c r="I31" s="55">
        <v>0.9102529221803842</v>
      </c>
      <c r="J31" s="25">
        <v>0.56</v>
      </c>
      <c r="K31" s="22">
        <v>356.4608735855522</v>
      </c>
      <c r="L31" s="22">
        <v>1848.7026144666547</v>
      </c>
      <c r="M31" s="24">
        <v>258.55927258555215</v>
      </c>
      <c r="N31" s="24">
        <v>1340.9584014521156</v>
      </c>
      <c r="O31" s="24">
        <v>356.4608735855521</v>
      </c>
      <c r="P31" s="24">
        <v>1848.7026144666547</v>
      </c>
      <c r="Q31" s="24">
        <v>507.74421301453907</v>
      </c>
      <c r="R31" s="24">
        <v>1.7691248027927937</v>
      </c>
    </row>
    <row r="32" ht="22.5" customHeight="1">
      <c r="A32" s="53">
        <v>45723.65166644676</v>
      </c>
      <c r="B32" s="3" t="s">
        <v>100</v>
      </c>
      <c r="C32" s="3" t="s">
        <v>142</v>
      </c>
      <c r="D32" s="3" t="s">
        <v>143</v>
      </c>
      <c r="E32" s="54">
        <v>45579.0</v>
      </c>
      <c r="F32" s="21">
        <v>575000.0</v>
      </c>
      <c r="G32" s="32" t="s">
        <v>144</v>
      </c>
      <c r="H32" s="22">
        <v>143750.0</v>
      </c>
      <c r="I32" s="55">
        <v>1.0854753725568385</v>
      </c>
      <c r="J32" s="25">
        <v>0.5538457731759077</v>
      </c>
      <c r="K32" s="22">
        <v>1002.9564492596952</v>
      </c>
      <c r="L32" s="22">
        <v>5201.603730844201</v>
      </c>
      <c r="M32" s="24">
        <v>771.9616992596951</v>
      </c>
      <c r="N32" s="24">
        <v>4003.6024075641026</v>
      </c>
      <c r="O32" s="24">
        <v>994.4945796961564</v>
      </c>
      <c r="P32" s="24">
        <v>5157.718183945221</v>
      </c>
      <c r="Q32" s="24">
        <v>1154.1157763811188</v>
      </c>
      <c r="R32" s="24">
        <v>4.021266600298669</v>
      </c>
    </row>
    <row r="33" ht="22.5" customHeight="1">
      <c r="A33" s="53">
        <v>45723.65275068287</v>
      </c>
      <c r="B33" s="3" t="s">
        <v>101</v>
      </c>
      <c r="C33" s="3" t="s">
        <v>142</v>
      </c>
      <c r="D33" s="3" t="s">
        <v>143</v>
      </c>
      <c r="E33" s="54">
        <v>45314.0</v>
      </c>
      <c r="F33" s="21">
        <v>112000.0</v>
      </c>
      <c r="G33" s="32" t="s">
        <v>144</v>
      </c>
      <c r="H33" s="22">
        <v>28000.0</v>
      </c>
      <c r="I33" s="55">
        <v>1.8110058311468453</v>
      </c>
      <c r="J33" s="25">
        <v>0.5016075801574271</v>
      </c>
      <c r="K33" s="22">
        <v>100.55225944206656</v>
      </c>
      <c r="L33" s="22">
        <v>5304.504405032853</v>
      </c>
      <c r="M33" s="24">
        <v>86.67153944206656</v>
      </c>
      <c r="N33" s="24">
        <v>4572.244973036201</v>
      </c>
      <c r="O33" s="24">
        <v>95.72768307327371</v>
      </c>
      <c r="P33" s="24">
        <v>5049.99011820647</v>
      </c>
      <c r="Q33" s="24">
        <v>653.8030642827248</v>
      </c>
      <c r="R33" s="24">
        <v>2.25622247535104</v>
      </c>
    </row>
    <row r="34" ht="22.5" customHeight="1">
      <c r="A34" s="53">
        <v>45723.653252233795</v>
      </c>
      <c r="B34" s="3" t="s">
        <v>101</v>
      </c>
      <c r="C34" s="3" t="s">
        <v>142</v>
      </c>
      <c r="D34" s="3" t="s">
        <v>143</v>
      </c>
      <c r="E34" s="54">
        <v>45630.0</v>
      </c>
      <c r="F34" s="21">
        <v>114400.0</v>
      </c>
      <c r="G34" s="32" t="s">
        <v>144</v>
      </c>
      <c r="H34" s="22">
        <v>28600.0</v>
      </c>
      <c r="I34" s="55">
        <v>0.9458449824131016</v>
      </c>
      <c r="J34" s="25">
        <v>0.56</v>
      </c>
      <c r="K34" s="22">
        <v>53.64138111692028</v>
      </c>
      <c r="L34" s="22">
        <v>2829.7816877072637</v>
      </c>
      <c r="M34" s="24">
        <v>39.46321711692028</v>
      </c>
      <c r="N34" s="24">
        <v>2081.8309821678267</v>
      </c>
      <c r="O34" s="24">
        <v>53.641381116920286</v>
      </c>
      <c r="P34" s="24">
        <v>2829.781687707264</v>
      </c>
      <c r="Q34" s="24">
        <v>747.9507055394376</v>
      </c>
      <c r="R34" s="24">
        <v>2.5811185118015914</v>
      </c>
    </row>
    <row r="35" ht="22.5" customHeight="1">
      <c r="A35" s="53">
        <v>45723.653597881945</v>
      </c>
      <c r="B35" s="3" t="s">
        <v>103</v>
      </c>
      <c r="C35" s="3" t="s">
        <v>142</v>
      </c>
      <c r="D35" s="3" t="s">
        <v>143</v>
      </c>
      <c r="E35" s="54">
        <v>45525.0</v>
      </c>
      <c r="F35" s="21">
        <v>618300.0</v>
      </c>
      <c r="G35" s="32" t="s">
        <v>144</v>
      </c>
      <c r="H35" s="22">
        <v>154575.0</v>
      </c>
      <c r="I35" s="55">
        <v>1.233319315061972</v>
      </c>
      <c r="J35" s="25">
        <v>0.543201009315538</v>
      </c>
      <c r="K35" s="22">
        <v>787.4513343957092</v>
      </c>
      <c r="L35" s="22">
        <v>24332.009641955883</v>
      </c>
      <c r="M35" s="24">
        <v>627.8310063957092</v>
      </c>
      <c r="N35" s="24">
        <v>19399.789464910078</v>
      </c>
      <c r="O35" s="24">
        <v>771.4902605675975</v>
      </c>
      <c r="P35" s="24">
        <v>23838.817256194525</v>
      </c>
      <c r="Q35" s="24">
        <v>4439.02779128445</v>
      </c>
      <c r="R35" s="24">
        <v>6.807049524925006</v>
      </c>
    </row>
    <row r="36" ht="22.5" customHeight="1">
      <c r="A36" s="53">
        <v>45723.654041435184</v>
      </c>
      <c r="B36" s="3" t="s">
        <v>106</v>
      </c>
      <c r="C36" s="3" t="s">
        <v>146</v>
      </c>
      <c r="D36" s="3" t="s">
        <v>143</v>
      </c>
      <c r="E36" s="54">
        <v>45474.0</v>
      </c>
      <c r="F36" s="21">
        <v>777200.0</v>
      </c>
      <c r="G36" s="32" t="s">
        <v>144</v>
      </c>
      <c r="H36" s="22">
        <v>194300.0</v>
      </c>
      <c r="I36" s="55">
        <v>1.3729497052057091</v>
      </c>
      <c r="J36" s="25">
        <v>0.7140369927123066</v>
      </c>
      <c r="K36" s="22">
        <v>3576.3065872659477</v>
      </c>
      <c r="L36" s="22">
        <v>55060.22878967109</v>
      </c>
      <c r="M36" s="24">
        <v>2925.0979935159476</v>
      </c>
      <c r="N36" s="24">
        <v>45034.32824486173</v>
      </c>
      <c r="O36" s="24">
        <v>3472.2202788088816</v>
      </c>
      <c r="P36" s="24">
        <v>53457.73308141035</v>
      </c>
      <c r="Q36" s="24">
        <v>8951.69691500836</v>
      </c>
      <c r="R36" s="24">
        <v>17.286560980225538</v>
      </c>
    </row>
    <row r="37" ht="22.5" customHeight="1">
      <c r="A37" s="53">
        <v>45723.65442633102</v>
      </c>
      <c r="B37" s="3" t="s">
        <v>108</v>
      </c>
      <c r="C37" s="3" t="s">
        <v>142</v>
      </c>
      <c r="D37" s="3" t="s">
        <v>143</v>
      </c>
      <c r="E37" s="54">
        <v>45442.0</v>
      </c>
      <c r="F37" s="21">
        <v>285000.0</v>
      </c>
      <c r="G37" s="32" t="s">
        <v>144</v>
      </c>
      <c r="H37" s="22">
        <v>71250.0</v>
      </c>
      <c r="I37" s="55">
        <v>1.4605609303939364</v>
      </c>
      <c r="J37" s="25">
        <v>0.5268396130116366</v>
      </c>
      <c r="K37" s="22">
        <v>2061.876640502888</v>
      </c>
      <c r="L37" s="22">
        <v>17782.664748799943</v>
      </c>
      <c r="M37" s="24">
        <v>1708.951165502888</v>
      </c>
      <c r="N37" s="24">
        <v>14738.857335711795</v>
      </c>
      <c r="O37" s="24">
        <v>1992.215061163293</v>
      </c>
      <c r="P37" s="24">
        <v>17181.86813132344</v>
      </c>
      <c r="Q37" s="24">
        <v>2717.6851902572744</v>
      </c>
      <c r="R37" s="24">
        <v>12.045628184959808</v>
      </c>
    </row>
    <row r="38" ht="22.5" customHeight="1">
      <c r="A38" s="53">
        <v>45723.654664953705</v>
      </c>
      <c r="B38" s="3" t="s">
        <v>108</v>
      </c>
      <c r="C38" s="3" t="s">
        <v>142</v>
      </c>
      <c r="D38" s="3" t="s">
        <v>143</v>
      </c>
      <c r="E38" s="54">
        <v>45462.0</v>
      </c>
      <c r="F38" s="21">
        <v>453400.0</v>
      </c>
      <c r="G38" s="32" t="s">
        <v>144</v>
      </c>
      <c r="H38" s="22">
        <v>113350.0</v>
      </c>
      <c r="I38" s="55">
        <v>1.4058039146512944</v>
      </c>
      <c r="J38" s="25">
        <v>0.5307821181451069</v>
      </c>
      <c r="K38" s="22">
        <v>3157.216787362316</v>
      </c>
      <c r="L38" s="22">
        <v>27229.43097859331</v>
      </c>
      <c r="M38" s="24">
        <v>2595.755698362316</v>
      </c>
      <c r="N38" s="24">
        <v>22387.10718528045</v>
      </c>
      <c r="O38" s="24">
        <v>3059.569741144925</v>
      </c>
      <c r="P38" s="24">
        <v>26387.273570878115</v>
      </c>
      <c r="Q38" s="24">
        <v>4323.503386886485</v>
      </c>
      <c r="R38" s="24">
        <v>19.163115154599218</v>
      </c>
    </row>
    <row r="39" ht="22.5" customHeight="1">
      <c r="A39" s="53">
        <v>45723.67441165509</v>
      </c>
      <c r="B39" s="3" t="s">
        <v>109</v>
      </c>
      <c r="C39" s="3" t="s">
        <v>146</v>
      </c>
      <c r="D39" s="3" t="s">
        <v>143</v>
      </c>
      <c r="E39" s="54">
        <v>45563.0</v>
      </c>
      <c r="F39" s="21">
        <v>846200.0</v>
      </c>
      <c r="G39" s="32" t="s">
        <v>144</v>
      </c>
      <c r="H39" s="22">
        <v>211550.0</v>
      </c>
      <c r="I39" s="55">
        <v>1.1292809851509522</v>
      </c>
      <c r="J39" s="25">
        <v>0.7375336192890153</v>
      </c>
      <c r="K39" s="22">
        <v>33091.56741342557</v>
      </c>
      <c r="L39" s="22">
        <v>53572.758228735096</v>
      </c>
      <c r="M39" s="24">
        <v>25765.76279780057</v>
      </c>
      <c r="N39" s="24">
        <v>41712.83166192631</v>
      </c>
      <c r="O39" s="24">
        <v>32685.67288296926</v>
      </c>
      <c r="P39" s="24">
        <v>52915.64551857439</v>
      </c>
      <c r="Q39" s="24">
        <v>11202.81385664808</v>
      </c>
      <c r="R39" s="24">
        <v>30.366072744797517</v>
      </c>
    </row>
    <row r="40" ht="22.5" customHeight="1">
      <c r="A40" s="53">
        <v>45723.67472267361</v>
      </c>
      <c r="B40" s="3" t="s">
        <v>109</v>
      </c>
      <c r="C40" s="3" t="s">
        <v>146</v>
      </c>
      <c r="D40" s="3" t="s">
        <v>145</v>
      </c>
      <c r="E40" s="54">
        <v>45590.0</v>
      </c>
      <c r="F40" s="21">
        <v>153800.0</v>
      </c>
      <c r="G40" s="32" t="s">
        <v>144</v>
      </c>
      <c r="H40" s="22">
        <v>38450.0</v>
      </c>
      <c r="I40" s="55">
        <v>1.0553590138983855</v>
      </c>
      <c r="J40" s="25">
        <v>0.7446618093740842</v>
      </c>
      <c r="K40" s="22">
        <v>5620.8094314693335</v>
      </c>
      <c r="L40" s="22">
        <v>9099.66762709863</v>
      </c>
      <c r="M40" s="24">
        <v>4289.317172094334</v>
      </c>
      <c r="N40" s="24">
        <v>6944.08182471717</v>
      </c>
      <c r="O40" s="24">
        <v>5589.219389258334</v>
      </c>
      <c r="P40" s="24">
        <v>9048.525725215832</v>
      </c>
      <c r="Q40" s="24">
        <v>2104.4439004986616</v>
      </c>
      <c r="R40" s="24">
        <v>5.704254072914498</v>
      </c>
    </row>
    <row r="41" ht="22.5" customHeight="1">
      <c r="A41" s="53">
        <v>45723.67560091435</v>
      </c>
      <c r="B41" s="3" t="s">
        <v>113</v>
      </c>
      <c r="C41" s="3" t="s">
        <v>142</v>
      </c>
      <c r="D41" s="3" t="s">
        <v>143</v>
      </c>
      <c r="E41" s="54">
        <v>45520.0</v>
      </c>
      <c r="F41" s="21">
        <v>241800.0</v>
      </c>
      <c r="G41" s="32" t="s">
        <v>144</v>
      </c>
      <c r="H41" s="22">
        <v>60450.0</v>
      </c>
      <c r="I41" s="55">
        <v>1.2470085689976325</v>
      </c>
      <c r="J41" s="25">
        <v>0.5422153830321705</v>
      </c>
      <c r="K41" s="22">
        <v>280.08812560559164</v>
      </c>
      <c r="L41" s="22">
        <v>12373.159461452095</v>
      </c>
      <c r="M41" s="24">
        <v>223.93612060559164</v>
      </c>
      <c r="N41" s="24">
        <v>9892.591210145318</v>
      </c>
      <c r="O41" s="24">
        <v>274.14382857642113</v>
      </c>
      <c r="P41" s="24">
        <v>12110.564483999417</v>
      </c>
      <c r="Q41" s="24">
        <v>2217.9732738540997</v>
      </c>
      <c r="R41" s="24">
        <v>5.934358106321398</v>
      </c>
    </row>
    <row r="42" ht="22.5" customHeight="1">
      <c r="A42" s="53">
        <v>45723.67596112269</v>
      </c>
      <c r="B42" s="3" t="s">
        <v>116</v>
      </c>
      <c r="C42" s="3" t="s">
        <v>146</v>
      </c>
      <c r="D42" s="3" t="s">
        <v>143</v>
      </c>
      <c r="E42" s="54">
        <v>45443.0</v>
      </c>
      <c r="F42" s="21">
        <v>645400.0</v>
      </c>
      <c r="G42" s="32" t="s">
        <v>144</v>
      </c>
      <c r="H42" s="22">
        <v>161350.0</v>
      </c>
      <c r="I42" s="55">
        <v>1.4578230796068044</v>
      </c>
      <c r="J42" s="25">
        <v>0.7058527744664868</v>
      </c>
      <c r="K42" s="22">
        <v>1176.8632336729465</v>
      </c>
      <c r="L42" s="22">
        <v>44661.774400732</v>
      </c>
      <c r="M42" s="24">
        <v>975.0446367979466</v>
      </c>
      <c r="N42" s="24">
        <v>37002.79042910049</v>
      </c>
      <c r="O42" s="24">
        <v>1137.2644287258452</v>
      </c>
      <c r="P42" s="24">
        <v>43159.00598849564</v>
      </c>
      <c r="Q42" s="24">
        <v>6838.378546099559</v>
      </c>
      <c r="R42" s="24">
        <v>15.691832015681968</v>
      </c>
    </row>
    <row r="43" ht="22.5" customHeight="1">
      <c r="A43" s="53">
        <v>45723.67630585648</v>
      </c>
      <c r="B43" s="3" t="s">
        <v>117</v>
      </c>
      <c r="C43" s="3" t="s">
        <v>146</v>
      </c>
      <c r="D43" s="3" t="s">
        <v>143</v>
      </c>
      <c r="E43" s="54">
        <v>45567.0</v>
      </c>
      <c r="F43" s="21">
        <v>186600.0</v>
      </c>
      <c r="G43" s="32" t="s">
        <v>144</v>
      </c>
      <c r="H43" s="22">
        <v>46650.0</v>
      </c>
      <c r="I43" s="55">
        <v>1.1183295820024237</v>
      </c>
      <c r="J43" s="25">
        <v>0.7385896474497663</v>
      </c>
      <c r="K43" s="22">
        <v>312.00313353997035</v>
      </c>
      <c r="L43" s="22">
        <v>2663.2933486158595</v>
      </c>
      <c r="M43" s="24">
        <v>242.25555228997032</v>
      </c>
      <c r="N43" s="24">
        <v>2067.9202601549646</v>
      </c>
      <c r="O43" s="24">
        <v>308.4660469106878</v>
      </c>
      <c r="P43" s="24">
        <v>2633.1003848902583</v>
      </c>
      <c r="Q43" s="24">
        <v>565.1801247352938</v>
      </c>
      <c r="R43" s="24">
        <v>1.3230776026020425</v>
      </c>
    </row>
    <row r="44" ht="22.5" customHeight="1">
      <c r="A44" s="53">
        <v>45723.677987731484</v>
      </c>
      <c r="B44" s="3" t="s">
        <v>81</v>
      </c>
      <c r="C44" s="3" t="s">
        <v>142</v>
      </c>
      <c r="D44" s="3" t="s">
        <v>143</v>
      </c>
      <c r="E44" s="54">
        <v>45686.0</v>
      </c>
      <c r="F44" s="21">
        <v>232300.0</v>
      </c>
      <c r="G44" s="32" t="s">
        <v>144</v>
      </c>
      <c r="H44" s="22">
        <v>58075.0</v>
      </c>
      <c r="I44" s="55">
        <v>0.7925253383337038</v>
      </c>
      <c r="J44" s="25">
        <v>0.56</v>
      </c>
      <c r="K44" s="22">
        <v>162.4309560538255</v>
      </c>
      <c r="L44" s="22">
        <v>6316.2816602993325</v>
      </c>
      <c r="M44" s="24">
        <v>111.19254505382548</v>
      </c>
      <c r="N44" s="24">
        <v>4323.827490449253</v>
      </c>
      <c r="O44" s="24">
        <v>162.43095605382547</v>
      </c>
      <c r="P44" s="24">
        <v>6316.281660299332</v>
      </c>
      <c r="Q44" s="24">
        <v>1992.4541698500796</v>
      </c>
      <c r="R44" s="24">
        <v>3.742912589104207</v>
      </c>
    </row>
    <row r="45" ht="22.5" customHeight="1">
      <c r="A45" s="53">
        <v>45723.678850937504</v>
      </c>
      <c r="B45" s="3" t="s">
        <v>81</v>
      </c>
      <c r="C45" s="3" t="s">
        <v>142</v>
      </c>
      <c r="D45" s="3" t="s">
        <v>143</v>
      </c>
      <c r="E45" s="54">
        <v>45681.0</v>
      </c>
      <c r="F45" s="21">
        <v>300000.0</v>
      </c>
      <c r="G45" s="32" t="s">
        <v>144</v>
      </c>
      <c r="H45" s="22">
        <v>75000.0</v>
      </c>
      <c r="I45" s="55">
        <v>0.8062145922693643</v>
      </c>
      <c r="J45" s="25">
        <v>0.56</v>
      </c>
      <c r="K45" s="22">
        <v>213.39210314022444</v>
      </c>
      <c r="L45" s="22">
        <v>8297.954160108875</v>
      </c>
      <c r="M45" s="24">
        <v>147.22110314022444</v>
      </c>
      <c r="N45" s="24">
        <v>5724.832115532794</v>
      </c>
      <c r="O45" s="24">
        <v>213.39210314022444</v>
      </c>
      <c r="P45" s="24">
        <v>8297.954160108875</v>
      </c>
      <c r="Q45" s="24">
        <v>2573.122044576082</v>
      </c>
      <c r="R45" s="24">
        <v>4.833722672110469</v>
      </c>
    </row>
    <row r="46" ht="22.5" customHeight="1">
      <c r="A46" s="53">
        <v>45723.67928431713</v>
      </c>
      <c r="B46" s="3" t="s">
        <v>84</v>
      </c>
      <c r="C46" s="3" t="s">
        <v>146</v>
      </c>
      <c r="D46" s="3" t="s">
        <v>143</v>
      </c>
      <c r="E46" s="54">
        <v>45674.0</v>
      </c>
      <c r="F46" s="21">
        <v>369100.0</v>
      </c>
      <c r="G46" s="32" t="s">
        <v>144</v>
      </c>
      <c r="H46" s="22">
        <v>92275.0</v>
      </c>
      <c r="I46" s="55">
        <v>0.825379547779289</v>
      </c>
      <c r="J46" s="25">
        <v>0.75</v>
      </c>
      <c r="K46" s="22">
        <v>782.9633495637553</v>
      </c>
      <c r="L46" s="22">
        <v>11668.526653735085</v>
      </c>
      <c r="M46" s="24">
        <v>545.8108323762552</v>
      </c>
      <c r="N46" s="24">
        <v>8134.235464569555</v>
      </c>
      <c r="O46" s="24">
        <v>782.9633495637553</v>
      </c>
      <c r="P46" s="24">
        <v>11668.526653735085</v>
      </c>
      <c r="Q46" s="24">
        <v>3534.291189165531</v>
      </c>
      <c r="R46" s="24">
        <v>12.27556972674763</v>
      </c>
    </row>
    <row r="47" ht="22.5" customHeight="1">
      <c r="A47" s="53">
        <v>45723.679917685186</v>
      </c>
      <c r="B47" s="3" t="s">
        <v>90</v>
      </c>
      <c r="C47" s="3" t="s">
        <v>146</v>
      </c>
      <c r="D47" s="3" t="s">
        <v>143</v>
      </c>
      <c r="E47" s="54">
        <v>45686.0</v>
      </c>
      <c r="F47" s="21">
        <v>2400000.0</v>
      </c>
      <c r="G47" s="32" t="s">
        <v>144</v>
      </c>
      <c r="H47" s="22">
        <v>600000.0</v>
      </c>
      <c r="I47" s="55">
        <v>0.7925253383337038</v>
      </c>
      <c r="J47" s="25">
        <v>0.75</v>
      </c>
      <c r="K47" s="22">
        <v>24060.118241405242</v>
      </c>
      <c r="L47" s="22">
        <v>111722.87544664428</v>
      </c>
      <c r="M47" s="24">
        <v>16470.418241405245</v>
      </c>
      <c r="N47" s="24">
        <v>76480.19295981576</v>
      </c>
      <c r="O47" s="24">
        <v>24060.118241405242</v>
      </c>
      <c r="P47" s="24">
        <v>111722.87544664428</v>
      </c>
      <c r="Q47" s="24">
        <v>35242.68248682852</v>
      </c>
      <c r="R47" s="24">
        <v>71.74325833194528</v>
      </c>
    </row>
    <row r="48" ht="22.5" customHeight="1">
      <c r="A48" s="53">
        <v>45723.68045635417</v>
      </c>
      <c r="B48" s="3" t="s">
        <v>98</v>
      </c>
      <c r="C48" s="3" t="s">
        <v>142</v>
      </c>
      <c r="D48" s="3" t="s">
        <v>143</v>
      </c>
      <c r="E48" s="54">
        <v>45712.0</v>
      </c>
      <c r="F48" s="21">
        <v>189500.0</v>
      </c>
      <c r="G48" s="32" t="s">
        <v>144</v>
      </c>
      <c r="H48" s="22">
        <v>47375.0</v>
      </c>
      <c r="I48" s="55">
        <v>0.7213412178682691</v>
      </c>
      <c r="J48" s="25">
        <v>0.56</v>
      </c>
      <c r="K48" s="22">
        <v>194.9696154123403</v>
      </c>
      <c r="L48" s="22">
        <v>5890.117833861978</v>
      </c>
      <c r="M48" s="24">
        <v>127.39770541234029</v>
      </c>
      <c r="N48" s="24">
        <v>3848.7407130353586</v>
      </c>
      <c r="O48" s="24">
        <v>194.9696154123403</v>
      </c>
      <c r="P48" s="24">
        <v>5890.117833861978</v>
      </c>
      <c r="Q48" s="24">
        <v>2041.3771208266196</v>
      </c>
      <c r="R48" s="24">
        <v>4.690712582194484</v>
      </c>
    </row>
    <row r="49" ht="22.5" customHeight="1">
      <c r="A49" s="53">
        <v>45723.681283136575</v>
      </c>
      <c r="B49" s="3" t="s">
        <v>103</v>
      </c>
      <c r="C49" s="3" t="s">
        <v>142</v>
      </c>
      <c r="D49" s="3" t="s">
        <v>145</v>
      </c>
      <c r="E49" s="54">
        <v>45680.0</v>
      </c>
      <c r="F49" s="21">
        <v>21650.0</v>
      </c>
      <c r="G49" s="32" t="s">
        <v>144</v>
      </c>
      <c r="H49" s="22">
        <v>5412.5</v>
      </c>
      <c r="I49" s="55">
        <v>0.8089524430564964</v>
      </c>
      <c r="J49" s="25">
        <v>0.56</v>
      </c>
      <c r="K49" s="22">
        <v>18.085471489773678</v>
      </c>
      <c r="L49" s="22">
        <v>558.8356352284177</v>
      </c>
      <c r="M49" s="24">
        <v>12.49630748977368</v>
      </c>
      <c r="N49" s="24">
        <v>386.13214690067764</v>
      </c>
      <c r="O49" s="24">
        <v>18.085471489773678</v>
      </c>
      <c r="P49" s="24">
        <v>558.8356352284177</v>
      </c>
      <c r="Q49" s="24">
        <v>172.70348832774005</v>
      </c>
      <c r="R49" s="24">
        <v>0.26483303404461667</v>
      </c>
    </row>
    <row r="50" ht="22.5" customHeight="1">
      <c r="A50" s="53">
        <v>45723.682557685184</v>
      </c>
      <c r="B50" s="3" t="s">
        <v>113</v>
      </c>
      <c r="C50" s="3" t="s">
        <v>142</v>
      </c>
      <c r="D50" s="3" t="s">
        <v>145</v>
      </c>
      <c r="E50" s="54">
        <v>45699.0</v>
      </c>
      <c r="F50" s="21">
        <v>5600.0</v>
      </c>
      <c r="G50" s="32" t="s">
        <v>144</v>
      </c>
      <c r="H50" s="22">
        <v>1400.0</v>
      </c>
      <c r="I50" s="55">
        <v>0.7569332781009864</v>
      </c>
      <c r="J50" s="25">
        <v>0.56</v>
      </c>
      <c r="K50" s="22">
        <v>3.9374458033568356</v>
      </c>
      <c r="L50" s="22">
        <v>173.9404149691195</v>
      </c>
      <c r="M50" s="24">
        <v>2.6369858033568354</v>
      </c>
      <c r="N50" s="24">
        <v>116.49135703976485</v>
      </c>
      <c r="O50" s="24">
        <v>3.9374458033568356</v>
      </c>
      <c r="P50" s="24">
        <v>173.9404149691195</v>
      </c>
      <c r="Q50" s="24">
        <v>57.44905792935464</v>
      </c>
      <c r="R50" s="24">
        <v>0.153709373617105</v>
      </c>
    </row>
    <row r="51" ht="22.5" customHeight="1">
      <c r="A51" s="53">
        <v>45723.682979895835</v>
      </c>
      <c r="B51" s="3" t="s">
        <v>117</v>
      </c>
      <c r="C51" s="3" t="s">
        <v>146</v>
      </c>
      <c r="D51" s="3" t="s">
        <v>143</v>
      </c>
      <c r="E51" s="54">
        <v>45770.0</v>
      </c>
      <c r="F51" s="21">
        <v>158300.0</v>
      </c>
      <c r="G51" s="32" t="s">
        <v>144</v>
      </c>
      <c r="H51" s="22">
        <v>39575.0</v>
      </c>
      <c r="I51" s="55">
        <v>0.5625458722146073</v>
      </c>
      <c r="J51" s="25">
        <v>0.75</v>
      </c>
      <c r="K51" s="22">
        <v>133.1423936759471</v>
      </c>
      <c r="L51" s="22">
        <v>1136.5182377263436</v>
      </c>
      <c r="M51" s="24">
        <v>73.97282180094709</v>
      </c>
      <c r="N51" s="24">
        <v>631.4402103771491</v>
      </c>
      <c r="O51" s="24">
        <v>133.1423936759471</v>
      </c>
      <c r="P51" s="24">
        <v>1136.5182377263436</v>
      </c>
      <c r="Q51" s="24">
        <v>505.07802734919454</v>
      </c>
      <c r="R51" s="24">
        <v>1.182379557075055</v>
      </c>
    </row>
    <row r="52" ht="22.5" customHeight="1">
      <c r="A52" s="53">
        <v>45723.68348412037</v>
      </c>
      <c r="B52" s="3" t="s">
        <v>120</v>
      </c>
      <c r="C52" s="3" t="s">
        <v>146</v>
      </c>
      <c r="D52" s="3" t="s">
        <v>143</v>
      </c>
      <c r="E52" s="54">
        <v>45716.0</v>
      </c>
      <c r="F52" s="21">
        <v>2278000.0</v>
      </c>
      <c r="G52" s="32" t="s">
        <v>144</v>
      </c>
      <c r="H52" s="22">
        <v>569500.0</v>
      </c>
      <c r="I52" s="55">
        <v>0.7103898147197407</v>
      </c>
      <c r="J52" s="25">
        <v>0.75</v>
      </c>
      <c r="K52" s="22">
        <v>4838.115605066039</v>
      </c>
      <c r="L52" s="22">
        <v>78402.91623336967</v>
      </c>
      <c r="M52" s="24">
        <v>3135.4885738160388</v>
      </c>
      <c r="N52" s="24">
        <v>50811.40428851557</v>
      </c>
      <c r="O52" s="24">
        <v>4838.115605066038</v>
      </c>
      <c r="P52" s="24">
        <v>78402.91623336967</v>
      </c>
      <c r="Q52" s="24">
        <v>27591.5119448541</v>
      </c>
      <c r="R52" s="24">
        <v>34.99272444554851</v>
      </c>
    </row>
    <row r="53" ht="22.5" customHeight="1">
      <c r="A53" s="53">
        <v>45728.67001030092</v>
      </c>
      <c r="B53" s="3" t="s">
        <v>73</v>
      </c>
      <c r="C53" s="3" t="s">
        <v>142</v>
      </c>
      <c r="D53" s="3" t="s">
        <v>143</v>
      </c>
      <c r="E53" s="54">
        <v>45809.0</v>
      </c>
      <c r="F53" s="21">
        <v>222100.0</v>
      </c>
      <c r="G53" s="3" t="s">
        <v>147</v>
      </c>
      <c r="H53" s="22">
        <v>55525.0</v>
      </c>
      <c r="I53" s="55">
        <v>0.4557696915164553</v>
      </c>
      <c r="J53" s="25">
        <v>0.56</v>
      </c>
      <c r="K53" s="22">
        <v>140.69666527938972</v>
      </c>
      <c r="L53" s="22">
        <v>5149.937784950773</v>
      </c>
      <c r="M53" s="24">
        <v>63.52135727938971</v>
      </c>
      <c r="N53" s="24">
        <v>2325.080252292287</v>
      </c>
      <c r="O53" s="24">
        <v>140.69666527938972</v>
      </c>
      <c r="P53" s="24">
        <v>5149.937784950772</v>
      </c>
      <c r="Q53" s="24">
        <v>2824.857532658486</v>
      </c>
      <c r="R53" s="24">
        <v>5.469146201476094</v>
      </c>
    </row>
    <row r="54" ht="22.5" customHeight="1">
      <c r="A54" s="53">
        <v>45728.6717583912</v>
      </c>
      <c r="B54" s="3" t="s">
        <v>73</v>
      </c>
      <c r="C54" s="3" t="s">
        <v>142</v>
      </c>
      <c r="D54" s="3" t="s">
        <v>145</v>
      </c>
      <c r="E54" s="54">
        <v>45931.0</v>
      </c>
      <c r="F54" s="21">
        <v>13100.0</v>
      </c>
      <c r="G54" s="3" t="s">
        <v>147</v>
      </c>
      <c r="H54" s="22">
        <v>3275.0</v>
      </c>
      <c r="I54" s="55">
        <v>0.12175189548633894</v>
      </c>
      <c r="J54" s="25">
        <v>0.56</v>
      </c>
      <c r="K54" s="22">
        <v>2.216852668924276</v>
      </c>
      <c r="L54" s="22">
        <v>81.14373784688763</v>
      </c>
      <c r="M54" s="24">
        <v>0.0</v>
      </c>
      <c r="N54" s="24">
        <v>0.0</v>
      </c>
      <c r="O54" s="24">
        <v>2.216852668924276</v>
      </c>
      <c r="P54" s="24">
        <v>81.14373784688763</v>
      </c>
      <c r="Q54" s="24">
        <v>81.14373784688763</v>
      </c>
      <c r="R54" s="24">
        <v>0.15710065392261663</v>
      </c>
    </row>
    <row r="55" ht="22.5" customHeight="1">
      <c r="A55" s="53">
        <v>45728.67232590278</v>
      </c>
      <c r="B55" s="3" t="s">
        <v>81</v>
      </c>
      <c r="C55" s="3" t="s">
        <v>142</v>
      </c>
      <c r="D55" s="3" t="s">
        <v>145</v>
      </c>
      <c r="E55" s="54">
        <v>45686.0</v>
      </c>
      <c r="F55" s="21">
        <v>11650.0</v>
      </c>
      <c r="G55" s="3" t="s">
        <v>144</v>
      </c>
      <c r="H55" s="22">
        <v>2912.5</v>
      </c>
      <c r="I55" s="55">
        <v>0.7925253383337038</v>
      </c>
      <c r="J55" s="25">
        <v>0.56</v>
      </c>
      <c r="K55" s="22">
        <v>8.14602082663395</v>
      </c>
      <c r="L55" s="22">
        <v>316.7657397438107</v>
      </c>
      <c r="M55" s="24">
        <v>5.576380326633951</v>
      </c>
      <c r="N55" s="24">
        <v>216.8428336794395</v>
      </c>
      <c r="O55" s="24">
        <v>8.14602082663395</v>
      </c>
      <c r="P55" s="24">
        <v>316.7657397438107</v>
      </c>
      <c r="Q55" s="24">
        <v>99.92290606437119</v>
      </c>
      <c r="R55" s="24">
        <v>0.18770956376695658</v>
      </c>
    </row>
    <row r="56" ht="22.5" customHeight="1">
      <c r="A56" s="53">
        <v>45728.67294871528</v>
      </c>
      <c r="B56" s="3" t="s">
        <v>81</v>
      </c>
      <c r="C56" s="3" t="s">
        <v>142</v>
      </c>
      <c r="D56" s="3" t="s">
        <v>143</v>
      </c>
      <c r="E56" s="54">
        <v>45821.0</v>
      </c>
      <c r="F56" s="21">
        <v>441100.0</v>
      </c>
      <c r="G56" s="3" t="s">
        <v>144</v>
      </c>
      <c r="H56" s="22">
        <v>110275.0</v>
      </c>
      <c r="I56" s="55">
        <v>0.42291548207087015</v>
      </c>
      <c r="J56" s="25">
        <v>0.56</v>
      </c>
      <c r="K56" s="22">
        <v>164.58758632812808</v>
      </c>
      <c r="L56" s="22">
        <v>6400.144272331917</v>
      </c>
      <c r="M56" s="24">
        <v>67.29415932812807</v>
      </c>
      <c r="N56" s="24">
        <v>2616.797159456884</v>
      </c>
      <c r="O56" s="24">
        <v>164.58758632812808</v>
      </c>
      <c r="P56" s="24">
        <v>6400.144272331916</v>
      </c>
      <c r="Q56" s="24">
        <v>3783.3471128750325</v>
      </c>
      <c r="R56" s="24">
        <v>7.107183568893094</v>
      </c>
    </row>
    <row r="57" ht="22.5" customHeight="1">
      <c r="A57" s="53">
        <v>45728.67326231481</v>
      </c>
      <c r="B57" s="3" t="s">
        <v>81</v>
      </c>
      <c r="C57" s="3" t="s">
        <v>142</v>
      </c>
      <c r="D57" s="3" t="s">
        <v>143</v>
      </c>
      <c r="E57" s="54">
        <v>45910.0</v>
      </c>
      <c r="F57" s="21">
        <v>441200.0</v>
      </c>
      <c r="G57" s="3" t="s">
        <v>144</v>
      </c>
      <c r="H57" s="22">
        <v>110300.0</v>
      </c>
      <c r="I57" s="55">
        <v>0.1792467620161131</v>
      </c>
      <c r="J57" s="25">
        <v>0.56</v>
      </c>
      <c r="K57" s="22">
        <v>69.77394160412346</v>
      </c>
      <c r="L57" s="22">
        <v>2713.2258433231214</v>
      </c>
      <c r="M57" s="24">
        <v>0.0</v>
      </c>
      <c r="N57" s="24">
        <v>0.0</v>
      </c>
      <c r="O57" s="24">
        <v>69.77394160412345</v>
      </c>
      <c r="P57" s="24">
        <v>2713.2258433231214</v>
      </c>
      <c r="Q57" s="24">
        <v>2713.2258433231214</v>
      </c>
      <c r="R57" s="24">
        <v>5.096913805962785</v>
      </c>
    </row>
    <row r="58" ht="22.5" customHeight="1">
      <c r="A58" s="53">
        <v>45728.67368789352</v>
      </c>
      <c r="B58" s="3" t="s">
        <v>81</v>
      </c>
      <c r="C58" s="3" t="s">
        <v>142</v>
      </c>
      <c r="D58" s="3" t="s">
        <v>145</v>
      </c>
      <c r="E58" s="54">
        <v>45931.0</v>
      </c>
      <c r="F58" s="21">
        <v>19300.0</v>
      </c>
      <c r="G58" s="3" t="s">
        <v>147</v>
      </c>
      <c r="H58" s="22">
        <v>4825.0</v>
      </c>
      <c r="I58" s="55">
        <v>0.12175189548633894</v>
      </c>
      <c r="J58" s="25">
        <v>0.56</v>
      </c>
      <c r="K58" s="22">
        <v>2.073191763348962</v>
      </c>
      <c r="L58" s="22">
        <v>80.61802646033418</v>
      </c>
      <c r="M58" s="24">
        <v>0.0</v>
      </c>
      <c r="N58" s="24">
        <v>0.0</v>
      </c>
      <c r="O58" s="24">
        <v>2.073191763348962</v>
      </c>
      <c r="P58" s="24">
        <v>80.61802646033418</v>
      </c>
      <c r="Q58" s="24">
        <v>80.61802646033418</v>
      </c>
      <c r="R58" s="24">
        <v>0.15144450031180667</v>
      </c>
    </row>
    <row r="59" ht="22.5" customHeight="1">
      <c r="A59" s="53">
        <v>45728.674321921295</v>
      </c>
      <c r="B59" s="3" t="s">
        <v>82</v>
      </c>
      <c r="C59" s="3" t="s">
        <v>142</v>
      </c>
      <c r="D59" s="3" t="s">
        <v>143</v>
      </c>
      <c r="E59" s="54">
        <v>45861.0</v>
      </c>
      <c r="F59" s="21">
        <v>408300.0</v>
      </c>
      <c r="G59" s="3" t="s">
        <v>147</v>
      </c>
      <c r="H59" s="22">
        <v>102075.0</v>
      </c>
      <c r="I59" s="55">
        <v>0.313401450585586</v>
      </c>
      <c r="J59" s="25">
        <v>0.56</v>
      </c>
      <c r="K59" s="22">
        <v>207.84581244056665</v>
      </c>
      <c r="L59" s="22">
        <v>4636.442201941496</v>
      </c>
      <c r="M59" s="24">
        <v>42.04743144056664</v>
      </c>
      <c r="N59" s="24">
        <v>937.9572449650908</v>
      </c>
      <c r="O59" s="24">
        <v>207.84581244056665</v>
      </c>
      <c r="P59" s="24">
        <v>4636.442201941496</v>
      </c>
      <c r="Q59" s="24">
        <v>3698.484956976405</v>
      </c>
      <c r="R59" s="24">
        <v>5.843591091672072</v>
      </c>
    </row>
    <row r="60" ht="22.5" customHeight="1">
      <c r="A60" s="53">
        <v>45728.67464996528</v>
      </c>
      <c r="B60" s="3" t="s">
        <v>82</v>
      </c>
      <c r="C60" s="3" t="s">
        <v>142</v>
      </c>
      <c r="D60" s="3" t="s">
        <v>145</v>
      </c>
      <c r="E60" s="54">
        <v>45992.0</v>
      </c>
      <c r="F60" s="21">
        <v>17800.0</v>
      </c>
      <c r="G60" s="3" t="s">
        <v>147</v>
      </c>
      <c r="H60" s="22">
        <v>4450.0</v>
      </c>
      <c r="I60" s="55">
        <v>0.0</v>
      </c>
      <c r="J60" s="25">
        <v>0.56</v>
      </c>
      <c r="K60" s="22">
        <v>0.0</v>
      </c>
      <c r="L60" s="22">
        <v>0.0</v>
      </c>
      <c r="M60" s="24">
        <v>0.0</v>
      </c>
      <c r="N60" s="24">
        <v>0.0</v>
      </c>
      <c r="O60" s="24">
        <v>0.0</v>
      </c>
      <c r="P60" s="24">
        <v>0.0</v>
      </c>
      <c r="Q60" s="24">
        <v>0.0</v>
      </c>
      <c r="R60" s="24">
        <v>0.0</v>
      </c>
    </row>
    <row r="61" ht="22.5" customHeight="1">
      <c r="A61" s="53">
        <v>45728.67511582176</v>
      </c>
      <c r="B61" s="3" t="s">
        <v>83</v>
      </c>
      <c r="C61" s="3" t="s">
        <v>146</v>
      </c>
      <c r="D61" s="3" t="s">
        <v>143</v>
      </c>
      <c r="E61" s="54">
        <v>45776.0</v>
      </c>
      <c r="F61" s="21">
        <v>133300.0</v>
      </c>
      <c r="G61" s="3" t="s">
        <v>144</v>
      </c>
      <c r="H61" s="22">
        <v>33325.0</v>
      </c>
      <c r="I61" s="55">
        <v>0.5461187674918146</v>
      </c>
      <c r="J61" s="25">
        <v>0.75</v>
      </c>
      <c r="K61" s="22">
        <v>68.95755663413264</v>
      </c>
      <c r="L61" s="22">
        <v>4170.521333919999</v>
      </c>
      <c r="M61" s="24">
        <v>37.39045038413264</v>
      </c>
      <c r="N61" s="24">
        <v>2261.357255438432</v>
      </c>
      <c r="O61" s="24">
        <v>68.95755663413264</v>
      </c>
      <c r="P61" s="24">
        <v>4170.52133392</v>
      </c>
      <c r="Q61" s="24">
        <v>1909.1640784815677</v>
      </c>
      <c r="R61" s="24">
        <v>6.126656260553293</v>
      </c>
    </row>
    <row r="62" ht="22.5" customHeight="1">
      <c r="A62" s="53">
        <v>45728.67543256945</v>
      </c>
      <c r="B62" s="3" t="s">
        <v>83</v>
      </c>
      <c r="C62" s="3" t="s">
        <v>146</v>
      </c>
      <c r="D62" s="3" t="s">
        <v>143</v>
      </c>
      <c r="E62" s="54">
        <v>45812.0</v>
      </c>
      <c r="F62" s="21">
        <v>133300.0</v>
      </c>
      <c r="G62" s="3" t="s">
        <v>144</v>
      </c>
      <c r="H62" s="22">
        <v>33325.0</v>
      </c>
      <c r="I62" s="55">
        <v>0.447556139155059</v>
      </c>
      <c r="J62" s="25">
        <v>0.75</v>
      </c>
      <c r="K62" s="22">
        <v>56.51220879019013</v>
      </c>
      <c r="L62" s="22">
        <v>3417.832415914946</v>
      </c>
      <c r="M62" s="24">
        <v>24.94510254019013</v>
      </c>
      <c r="N62" s="24">
        <v>1508.6683374333782</v>
      </c>
      <c r="O62" s="24">
        <v>56.51220879019012</v>
      </c>
      <c r="P62" s="24">
        <v>3417.8324159149456</v>
      </c>
      <c r="Q62" s="24">
        <v>1909.1640784815675</v>
      </c>
      <c r="R62" s="24">
        <v>6.1266562605532915</v>
      </c>
    </row>
    <row r="63" ht="22.5" customHeight="1">
      <c r="A63" s="53">
        <v>45728.67584327546</v>
      </c>
      <c r="B63" s="3" t="s">
        <v>83</v>
      </c>
      <c r="C63" s="3" t="s">
        <v>146</v>
      </c>
      <c r="D63" s="3" t="s">
        <v>145</v>
      </c>
      <c r="E63" s="54">
        <v>45992.0</v>
      </c>
      <c r="F63" s="21">
        <v>21800.0</v>
      </c>
      <c r="G63" s="3" t="s">
        <v>147</v>
      </c>
      <c r="H63" s="22">
        <v>5450.0</v>
      </c>
      <c r="I63" s="55">
        <v>0.0</v>
      </c>
      <c r="J63" s="25">
        <v>0.75</v>
      </c>
      <c r="K63" s="22">
        <v>0.0</v>
      </c>
      <c r="L63" s="22">
        <v>0.0</v>
      </c>
      <c r="M63" s="24">
        <v>0.0</v>
      </c>
      <c r="N63" s="24">
        <v>0.0</v>
      </c>
      <c r="O63" s="24">
        <v>0.0</v>
      </c>
      <c r="P63" s="24">
        <v>0.0</v>
      </c>
      <c r="Q63" s="24">
        <v>0.0</v>
      </c>
      <c r="R63" s="24">
        <v>0.0</v>
      </c>
    </row>
    <row r="64" ht="22.5" customHeight="1">
      <c r="A64" s="53">
        <v>45728.67876866898</v>
      </c>
      <c r="B64" s="3" t="s">
        <v>84</v>
      </c>
      <c r="C64" s="3" t="s">
        <v>146</v>
      </c>
      <c r="D64" s="3" t="s">
        <v>145</v>
      </c>
      <c r="E64" s="54">
        <v>45847.0</v>
      </c>
      <c r="F64" s="21">
        <v>18500.0</v>
      </c>
      <c r="G64" s="3" t="s">
        <v>144</v>
      </c>
      <c r="H64" s="22">
        <v>4625.0</v>
      </c>
      <c r="I64" s="55">
        <v>0.3517313616054355</v>
      </c>
      <c r="J64" s="25">
        <v>0.75</v>
      </c>
      <c r="K64" s="22">
        <v>16.723474276917287</v>
      </c>
      <c r="L64" s="22">
        <v>249.23044667670322</v>
      </c>
      <c r="M64" s="24">
        <v>4.836935214417287</v>
      </c>
      <c r="N64" s="24">
        <v>72.08499287133255</v>
      </c>
      <c r="O64" s="24">
        <v>16.72347427691729</v>
      </c>
      <c r="P64" s="24">
        <v>249.23044667670325</v>
      </c>
      <c r="Q64" s="24">
        <v>177.14545380537072</v>
      </c>
      <c r="R64" s="24">
        <v>0.6152751014490144</v>
      </c>
    </row>
    <row r="65" ht="22.5" customHeight="1">
      <c r="A65" s="53">
        <v>45728.67973715278</v>
      </c>
      <c r="B65" s="3" t="s">
        <v>88</v>
      </c>
      <c r="C65" s="3" t="s">
        <v>146</v>
      </c>
      <c r="D65" s="3" t="s">
        <v>143</v>
      </c>
      <c r="E65" s="54">
        <v>45818.0</v>
      </c>
      <c r="F65" s="21">
        <v>537600.0</v>
      </c>
      <c r="G65" s="3" t="s">
        <v>144</v>
      </c>
      <c r="H65" s="22">
        <v>134400.0</v>
      </c>
      <c r="I65" s="55">
        <v>0.43112903443226647</v>
      </c>
      <c r="J65" s="25">
        <v>0.75</v>
      </c>
      <c r="K65" s="22">
        <v>468.08403565089014</v>
      </c>
      <c r="L65" s="22">
        <v>10926.513523683669</v>
      </c>
      <c r="M65" s="24">
        <v>196.65483565089016</v>
      </c>
      <c r="N65" s="24">
        <v>4590.525541528697</v>
      </c>
      <c r="O65" s="24">
        <v>468.08403565089014</v>
      </c>
      <c r="P65" s="24">
        <v>10926.513523683667</v>
      </c>
      <c r="Q65" s="24">
        <v>6335.987982154971</v>
      </c>
      <c r="R65" s="24">
        <v>8.70924126925108</v>
      </c>
    </row>
    <row r="66" ht="22.5" customHeight="1">
      <c r="A66" s="53">
        <v>45728.68083943287</v>
      </c>
      <c r="B66" s="3" t="s">
        <v>90</v>
      </c>
      <c r="C66" s="3" t="s">
        <v>146</v>
      </c>
      <c r="D66" s="3" t="s">
        <v>143</v>
      </c>
      <c r="E66" s="54">
        <v>45726.0</v>
      </c>
      <c r="F66" s="21">
        <v>2009300.0</v>
      </c>
      <c r="G66" s="3" t="s">
        <v>144</v>
      </c>
      <c r="H66" s="22">
        <v>502325.0</v>
      </c>
      <c r="I66" s="55">
        <v>0.6830113068484197</v>
      </c>
      <c r="J66" s="25">
        <v>0.75</v>
      </c>
      <c r="K66" s="22">
        <v>17359.852741149774</v>
      </c>
      <c r="L66" s="22">
        <v>80610.27157521922</v>
      </c>
      <c r="M66" s="24">
        <v>11005.692653649774</v>
      </c>
      <c r="N66" s="24">
        <v>51104.80410822566</v>
      </c>
      <c r="O66" s="24">
        <v>17359.852741149774</v>
      </c>
      <c r="P66" s="24">
        <v>80610.27157521923</v>
      </c>
      <c r="Q66" s="24">
        <v>29505.467466993563</v>
      </c>
      <c r="R66" s="24">
        <v>60.06405373599069</v>
      </c>
    </row>
    <row r="67" ht="22.5" customHeight="1">
      <c r="A67" s="53">
        <v>45728.68152787037</v>
      </c>
      <c r="B67" s="3" t="s">
        <v>90</v>
      </c>
      <c r="C67" s="3" t="s">
        <v>146</v>
      </c>
      <c r="D67" s="3" t="s">
        <v>145</v>
      </c>
      <c r="E67" s="54">
        <v>45992.0</v>
      </c>
      <c r="F67" s="21">
        <v>453400.0</v>
      </c>
      <c r="G67" s="3" t="s">
        <v>147</v>
      </c>
      <c r="H67" s="22">
        <v>113350.0</v>
      </c>
      <c r="I67" s="55">
        <v>0.0</v>
      </c>
      <c r="J67" s="25">
        <v>0.75</v>
      </c>
      <c r="K67" s="22">
        <v>0.0</v>
      </c>
      <c r="L67" s="22">
        <v>0.0</v>
      </c>
      <c r="M67" s="24">
        <v>0.0</v>
      </c>
      <c r="N67" s="24">
        <v>0.0</v>
      </c>
      <c r="O67" s="24">
        <v>0.0</v>
      </c>
      <c r="P67" s="24">
        <v>0.0</v>
      </c>
      <c r="Q67" s="24">
        <v>0.0</v>
      </c>
      <c r="R67" s="24">
        <v>0.0</v>
      </c>
    </row>
    <row r="68" ht="22.5" customHeight="1">
      <c r="A68" s="53">
        <v>45728.68200528935</v>
      </c>
      <c r="B68" s="3" t="s">
        <v>94</v>
      </c>
      <c r="C68" s="3" t="s">
        <v>146</v>
      </c>
      <c r="D68" s="3" t="s">
        <v>143</v>
      </c>
      <c r="E68" s="54">
        <v>45763.0</v>
      </c>
      <c r="F68" s="21">
        <v>176700.0</v>
      </c>
      <c r="G68" s="3" t="s">
        <v>144</v>
      </c>
      <c r="H68" s="22">
        <v>44175.0</v>
      </c>
      <c r="I68" s="55">
        <v>0.581710827724532</v>
      </c>
      <c r="J68" s="25">
        <v>0.75</v>
      </c>
      <c r="K68" s="22">
        <v>357.8382049890857</v>
      </c>
      <c r="L68" s="22">
        <v>1431.6365271805234</v>
      </c>
      <c r="M68" s="24">
        <v>204.05122530158565</v>
      </c>
      <c r="N68" s="24">
        <v>816.366680485117</v>
      </c>
      <c r="O68" s="24">
        <v>357.8382049890856</v>
      </c>
      <c r="P68" s="24">
        <v>1431.6365271805237</v>
      </c>
      <c r="Q68" s="24">
        <v>615.2698466954066</v>
      </c>
      <c r="R68" s="24">
        <v>1.1950031684057743</v>
      </c>
    </row>
    <row r="69" ht="22.5" customHeight="1">
      <c r="A69" s="53">
        <v>45728.682386863424</v>
      </c>
      <c r="B69" s="3" t="s">
        <v>94</v>
      </c>
      <c r="C69" s="3" t="s">
        <v>146</v>
      </c>
      <c r="D69" s="3" t="s">
        <v>145</v>
      </c>
      <c r="E69" s="54">
        <v>45864.0</v>
      </c>
      <c r="F69" s="21">
        <v>9500.0</v>
      </c>
      <c r="G69" s="3" t="s">
        <v>144</v>
      </c>
      <c r="H69" s="22">
        <v>2375.0</v>
      </c>
      <c r="I69" s="55">
        <v>0.3051878982241897</v>
      </c>
      <c r="J69" s="25">
        <v>0.75</v>
      </c>
      <c r="K69" s="22">
        <v>10.093317226897693</v>
      </c>
      <c r="L69" s="22">
        <v>40.381271258858185</v>
      </c>
      <c r="M69" s="24">
        <v>1.8252000393976937</v>
      </c>
      <c r="N69" s="24">
        <v>7.3022472429761045</v>
      </c>
      <c r="O69" s="24">
        <v>10.093317226897694</v>
      </c>
      <c r="P69" s="24">
        <v>40.381271258858185</v>
      </c>
      <c r="Q69" s="24">
        <v>33.07902401588208</v>
      </c>
      <c r="R69" s="24">
        <v>0.06424748217235345</v>
      </c>
    </row>
    <row r="70" ht="22.5" customHeight="1">
      <c r="A70" s="53">
        <v>45728.684026030096</v>
      </c>
      <c r="B70" s="3" t="s">
        <v>97</v>
      </c>
      <c r="C70" s="3" t="s">
        <v>146</v>
      </c>
      <c r="D70" s="3" t="s">
        <v>143</v>
      </c>
      <c r="E70" s="54">
        <v>45726.0</v>
      </c>
      <c r="F70" s="21">
        <v>399500.0</v>
      </c>
      <c r="G70" s="3" t="s">
        <v>144</v>
      </c>
      <c r="H70" s="22">
        <v>99875.0</v>
      </c>
      <c r="I70" s="55">
        <v>0.6830113068484197</v>
      </c>
      <c r="J70" s="25">
        <v>0.75</v>
      </c>
      <c r="K70" s="22">
        <v>586.519055226236</v>
      </c>
      <c r="L70" s="22">
        <v>9920.36158024281</v>
      </c>
      <c r="M70" s="24">
        <v>371.83774272623594</v>
      </c>
      <c r="N70" s="24">
        <v>6289.249810652285</v>
      </c>
      <c r="O70" s="24">
        <v>586.519055226236</v>
      </c>
      <c r="P70" s="24">
        <v>9920.36158024281</v>
      </c>
      <c r="Q70" s="24">
        <v>3631.1117695905255</v>
      </c>
      <c r="R70" s="24">
        <v>6.3537900712071185</v>
      </c>
    </row>
    <row r="71" ht="22.5" customHeight="1">
      <c r="A71" s="53">
        <v>45728.68436431713</v>
      </c>
      <c r="B71" s="3" t="s">
        <v>97</v>
      </c>
      <c r="C71" s="3" t="s">
        <v>146</v>
      </c>
      <c r="D71" s="3" t="s">
        <v>145</v>
      </c>
      <c r="E71" s="54">
        <v>45876.0</v>
      </c>
      <c r="F71" s="21">
        <v>278200.0</v>
      </c>
      <c r="G71" s="3" t="s">
        <v>144</v>
      </c>
      <c r="H71" s="22">
        <v>69550.0</v>
      </c>
      <c r="I71" s="55">
        <v>0.27233368877860453</v>
      </c>
      <c r="J71" s="25">
        <v>0.75</v>
      </c>
      <c r="K71" s="22">
        <v>162.85306765303764</v>
      </c>
      <c r="L71" s="22">
        <v>2754.4907555419713</v>
      </c>
      <c r="M71" s="24">
        <v>13.355342653037626</v>
      </c>
      <c r="N71" s="24">
        <v>225.8917710611597</v>
      </c>
      <c r="O71" s="24">
        <v>162.8530676530376</v>
      </c>
      <c r="P71" s="24">
        <v>2754.4907555419713</v>
      </c>
      <c r="Q71" s="24">
        <v>2528.598984480812</v>
      </c>
      <c r="R71" s="24">
        <v>4.4245917341922905</v>
      </c>
    </row>
    <row r="72" ht="22.5" customHeight="1">
      <c r="A72" s="53">
        <v>45728.68474768518</v>
      </c>
      <c r="B72" s="3" t="s">
        <v>98</v>
      </c>
      <c r="C72" s="3" t="s">
        <v>142</v>
      </c>
      <c r="D72" s="3" t="s">
        <v>143</v>
      </c>
      <c r="E72" s="54">
        <v>45762.0</v>
      </c>
      <c r="F72" s="21">
        <v>378800.0</v>
      </c>
      <c r="G72" s="3" t="s">
        <v>144</v>
      </c>
      <c r="H72" s="22">
        <v>94700.0</v>
      </c>
      <c r="I72" s="55">
        <v>0.584448678511664</v>
      </c>
      <c r="J72" s="25">
        <v>0.56</v>
      </c>
      <c r="K72" s="22">
        <v>315.7717858642458</v>
      </c>
      <c r="L72" s="22">
        <v>9539.604534870095</v>
      </c>
      <c r="M72" s="24">
        <v>180.69928186424585</v>
      </c>
      <c r="N72" s="24">
        <v>5459.004780943323</v>
      </c>
      <c r="O72" s="24">
        <v>315.7717858642458</v>
      </c>
      <c r="P72" s="24">
        <v>9539.604534870095</v>
      </c>
      <c r="Q72" s="24">
        <v>4080.5997539267737</v>
      </c>
      <c r="R72" s="24">
        <v>9.376474544249453</v>
      </c>
    </row>
    <row r="73" ht="22.5" customHeight="1">
      <c r="A73" s="53">
        <v>45728.68513728009</v>
      </c>
      <c r="B73" s="3" t="s">
        <v>98</v>
      </c>
      <c r="C73" s="3" t="s">
        <v>142</v>
      </c>
      <c r="D73" s="3" t="s">
        <v>145</v>
      </c>
      <c r="E73" s="54">
        <v>45992.0</v>
      </c>
      <c r="F73" s="21">
        <v>10700.0</v>
      </c>
      <c r="G73" s="3" t="s">
        <v>147</v>
      </c>
      <c r="H73" s="22">
        <v>2675.0</v>
      </c>
      <c r="I73" s="55">
        <v>0.0</v>
      </c>
      <c r="J73" s="25">
        <v>0.56</v>
      </c>
      <c r="K73" s="22">
        <v>0.0</v>
      </c>
      <c r="L73" s="22">
        <v>0.0</v>
      </c>
      <c r="M73" s="24">
        <v>0.0</v>
      </c>
      <c r="N73" s="24">
        <v>0.0</v>
      </c>
      <c r="O73" s="24">
        <v>0.0</v>
      </c>
      <c r="P73" s="24">
        <v>0.0</v>
      </c>
      <c r="Q73" s="24">
        <v>0.0</v>
      </c>
      <c r="R73" s="24">
        <v>0.0</v>
      </c>
    </row>
    <row r="74" ht="22.5" customHeight="1">
      <c r="A74" s="53">
        <v>45728.685499432875</v>
      </c>
      <c r="B74" s="3" t="s">
        <v>100</v>
      </c>
      <c r="C74" s="3" t="s">
        <v>142</v>
      </c>
      <c r="D74" s="3" t="s">
        <v>145</v>
      </c>
      <c r="E74" s="54">
        <v>45895.0</v>
      </c>
      <c r="F74" s="21">
        <v>204800.0</v>
      </c>
      <c r="G74" s="3" t="s">
        <v>144</v>
      </c>
      <c r="H74" s="22">
        <v>51200.0</v>
      </c>
      <c r="I74" s="55">
        <v>0.2203145238230946</v>
      </c>
      <c r="J74" s="25">
        <v>0.56</v>
      </c>
      <c r="K74" s="22">
        <v>72.50489643454611</v>
      </c>
      <c r="L74" s="22">
        <v>376.030026106103</v>
      </c>
      <c r="M74" s="24">
        <v>0.0</v>
      </c>
      <c r="N74" s="24">
        <v>0.0</v>
      </c>
      <c r="O74" s="24">
        <v>72.50489643454611</v>
      </c>
      <c r="P74" s="24">
        <v>376.030026106103</v>
      </c>
      <c r="Q74" s="24">
        <v>376.030026106103</v>
      </c>
      <c r="R74" s="24">
        <v>1.3101952296600166</v>
      </c>
    </row>
    <row r="75" ht="22.5" customHeight="1">
      <c r="A75" s="53">
        <v>45728.68579208333</v>
      </c>
      <c r="B75" s="3" t="s">
        <v>100</v>
      </c>
      <c r="C75" s="3" t="s">
        <v>142</v>
      </c>
      <c r="D75" s="3" t="s">
        <v>143</v>
      </c>
      <c r="E75" s="54">
        <v>45733.0</v>
      </c>
      <c r="F75" s="21">
        <v>342300.0</v>
      </c>
      <c r="G75" s="3" t="s">
        <v>144</v>
      </c>
      <c r="H75" s="22">
        <v>85575.0</v>
      </c>
      <c r="I75" s="55">
        <v>0.663846351338495</v>
      </c>
      <c r="J75" s="25">
        <v>0.56</v>
      </c>
      <c r="K75" s="22">
        <v>365.1478331750241</v>
      </c>
      <c r="L75" s="22">
        <v>1893.7555391909964</v>
      </c>
      <c r="M75" s="24">
        <v>227.63565417502411</v>
      </c>
      <c r="N75" s="24">
        <v>1180.5801427409483</v>
      </c>
      <c r="O75" s="24">
        <v>365.1478331750241</v>
      </c>
      <c r="P75" s="24">
        <v>1893.7555391909964</v>
      </c>
      <c r="Q75" s="24">
        <v>713.1753964500481</v>
      </c>
      <c r="R75" s="24">
        <v>2.4849052933769933</v>
      </c>
    </row>
    <row r="76" ht="22.5" customHeight="1">
      <c r="A76" s="53">
        <v>45728.686554050924</v>
      </c>
      <c r="B76" s="3" t="s">
        <v>101</v>
      </c>
      <c r="C76" s="3" t="s">
        <v>142</v>
      </c>
      <c r="D76" s="3" t="s">
        <v>145</v>
      </c>
      <c r="E76" s="54">
        <v>45931.0</v>
      </c>
      <c r="F76" s="21">
        <v>2550.0</v>
      </c>
      <c r="G76" s="3" t="s">
        <v>147</v>
      </c>
      <c r="H76" s="22">
        <v>637.5</v>
      </c>
      <c r="I76" s="55">
        <v>0.12175189548633894</v>
      </c>
      <c r="J76" s="25">
        <v>0.56</v>
      </c>
      <c r="K76" s="22">
        <v>0.15391107590441408</v>
      </c>
      <c r="L76" s="22">
        <v>8.119379759822243</v>
      </c>
      <c r="M76" s="24">
        <v>0.0</v>
      </c>
      <c r="N76" s="24">
        <v>0.0</v>
      </c>
      <c r="O76" s="24">
        <v>0.15391107590441408</v>
      </c>
      <c r="P76" s="24">
        <v>8.119379759822243</v>
      </c>
      <c r="Q76" s="24">
        <v>8.119379759822243</v>
      </c>
      <c r="R76" s="24">
        <v>0.02801933502731262</v>
      </c>
    </row>
    <row r="77" ht="22.5" customHeight="1">
      <c r="A77" s="53">
        <v>45728.68703241898</v>
      </c>
      <c r="B77" s="3" t="s">
        <v>103</v>
      </c>
      <c r="C77" s="3" t="s">
        <v>142</v>
      </c>
      <c r="D77" s="3" t="s">
        <v>143</v>
      </c>
      <c r="E77" s="54">
        <v>45834.0</v>
      </c>
      <c r="F77" s="21">
        <v>1213500.0</v>
      </c>
      <c r="G77" s="3" t="s">
        <v>144</v>
      </c>
      <c r="H77" s="22">
        <v>303375.0</v>
      </c>
      <c r="I77" s="55">
        <v>0.3873234218381528</v>
      </c>
      <c r="J77" s="25">
        <v>0.56</v>
      </c>
      <c r="K77" s="22">
        <v>485.35832637975403</v>
      </c>
      <c r="L77" s="22">
        <v>14997.426458536072</v>
      </c>
      <c r="M77" s="24">
        <v>172.081166379754</v>
      </c>
      <c r="N77" s="24">
        <v>5317.256339103619</v>
      </c>
      <c r="O77" s="24">
        <v>485.35832637975403</v>
      </c>
      <c r="P77" s="24">
        <v>14997.426458536072</v>
      </c>
      <c r="Q77" s="24">
        <v>9680.170119432452</v>
      </c>
      <c r="R77" s="24">
        <v>14.844105626473088</v>
      </c>
    </row>
    <row r="78" ht="22.5" customHeight="1">
      <c r="A78" s="53">
        <v>45728.687430300924</v>
      </c>
      <c r="B78" s="3" t="s">
        <v>103</v>
      </c>
      <c r="C78" s="3" t="s">
        <v>142</v>
      </c>
      <c r="D78" s="3" t="s">
        <v>145</v>
      </c>
      <c r="E78" s="54">
        <v>45992.0</v>
      </c>
      <c r="F78" s="21">
        <v>26600.0</v>
      </c>
      <c r="G78" s="3" t="s">
        <v>148</v>
      </c>
      <c r="H78" s="22">
        <v>6650.0</v>
      </c>
      <c r="I78" s="55">
        <v>0.0</v>
      </c>
      <c r="J78" s="25">
        <v>0.56</v>
      </c>
      <c r="K78" s="22">
        <v>0.0</v>
      </c>
      <c r="L78" s="22">
        <v>0.0</v>
      </c>
      <c r="M78" s="24">
        <v>0.0</v>
      </c>
      <c r="N78" s="24">
        <v>0.0</v>
      </c>
      <c r="O78" s="24">
        <v>0.0</v>
      </c>
      <c r="P78" s="24">
        <v>0.0</v>
      </c>
      <c r="Q78" s="24">
        <v>0.0</v>
      </c>
      <c r="R78" s="24">
        <v>0.0</v>
      </c>
    </row>
    <row r="79" ht="22.5" customHeight="1">
      <c r="A79" s="53">
        <v>45728.68778774305</v>
      </c>
      <c r="B79" s="3" t="s">
        <v>104</v>
      </c>
      <c r="C79" s="3" t="s">
        <v>146</v>
      </c>
      <c r="D79" s="3" t="s">
        <v>143</v>
      </c>
      <c r="E79" s="54">
        <v>45729.0</v>
      </c>
      <c r="F79" s="21">
        <v>927800.0</v>
      </c>
      <c r="G79" s="3" t="s">
        <v>144</v>
      </c>
      <c r="H79" s="22">
        <v>231950.0</v>
      </c>
      <c r="I79" s="55">
        <v>0.6747977544870234</v>
      </c>
      <c r="J79" s="25">
        <v>0.75</v>
      </c>
      <c r="K79" s="22">
        <v>1667.283130495368</v>
      </c>
      <c r="L79" s="22">
        <v>40642.544073332385</v>
      </c>
      <c r="M79" s="24">
        <v>1049.585783620368</v>
      </c>
      <c r="N79" s="24">
        <v>25585.238457285777</v>
      </c>
      <c r="O79" s="24">
        <v>1667.283130495368</v>
      </c>
      <c r="P79" s="24">
        <v>40642.544073332385</v>
      </c>
      <c r="Q79" s="24">
        <v>15057.305616046606</v>
      </c>
      <c r="R79" s="24">
        <v>25.98738047362867</v>
      </c>
    </row>
    <row r="80" ht="22.5" customHeight="1">
      <c r="A80" s="53">
        <v>45728.688184432875</v>
      </c>
      <c r="B80" s="3" t="s">
        <v>104</v>
      </c>
      <c r="C80" s="3" t="s">
        <v>146</v>
      </c>
      <c r="D80" s="3" t="s">
        <v>145</v>
      </c>
      <c r="E80" s="54">
        <v>45992.0</v>
      </c>
      <c r="F80" s="21">
        <v>47800.0</v>
      </c>
      <c r="G80" s="3" t="s">
        <v>147</v>
      </c>
      <c r="H80" s="22">
        <v>11950.0</v>
      </c>
      <c r="I80" s="55">
        <v>0.0</v>
      </c>
      <c r="J80" s="25">
        <v>0.75</v>
      </c>
      <c r="K80" s="22">
        <v>0.0</v>
      </c>
      <c r="L80" s="22">
        <v>0.0</v>
      </c>
      <c r="M80" s="24">
        <v>0.0</v>
      </c>
      <c r="N80" s="24">
        <v>0.0</v>
      </c>
      <c r="O80" s="24">
        <v>0.0</v>
      </c>
      <c r="P80" s="24">
        <v>0.0</v>
      </c>
      <c r="Q80" s="24">
        <v>0.0</v>
      </c>
      <c r="R80" s="24">
        <v>0.0</v>
      </c>
    </row>
    <row r="81" ht="22.5" customHeight="1">
      <c r="A81" s="53">
        <v>45728.69006673611</v>
      </c>
      <c r="B81" s="3" t="s">
        <v>106</v>
      </c>
      <c r="C81" s="3" t="s">
        <v>146</v>
      </c>
      <c r="D81" s="3" t="s">
        <v>145</v>
      </c>
      <c r="E81" s="54">
        <v>45876.0</v>
      </c>
      <c r="F81" s="21">
        <v>39200.0</v>
      </c>
      <c r="G81" s="3" t="s">
        <v>144</v>
      </c>
      <c r="H81" s="22">
        <v>9800.0</v>
      </c>
      <c r="I81" s="55">
        <v>0.27233368877860453</v>
      </c>
      <c r="J81" s="25">
        <v>0.75</v>
      </c>
      <c r="K81" s="22">
        <v>35.77954044884404</v>
      </c>
      <c r="L81" s="22">
        <v>550.8559277656094</v>
      </c>
      <c r="M81" s="24">
        <v>2.9342279488440366</v>
      </c>
      <c r="N81" s="24">
        <v>45.174891537448</v>
      </c>
      <c r="O81" s="24">
        <v>35.77954044884403</v>
      </c>
      <c r="P81" s="24">
        <v>550.8559277656093</v>
      </c>
      <c r="Q81" s="24">
        <v>505.68103622816136</v>
      </c>
      <c r="R81" s="24">
        <v>0.9765172069941096</v>
      </c>
    </row>
    <row r="82" ht="22.5" customHeight="1">
      <c r="A82" s="53">
        <v>45728.69050025463</v>
      </c>
      <c r="B82" s="3" t="s">
        <v>106</v>
      </c>
      <c r="C82" s="3" t="s">
        <v>146</v>
      </c>
      <c r="D82" s="3" t="s">
        <v>143</v>
      </c>
      <c r="E82" s="54">
        <v>45775.0</v>
      </c>
      <c r="F82" s="21">
        <v>414500.0</v>
      </c>
      <c r="G82" s="3" t="s">
        <v>144</v>
      </c>
      <c r="H82" s="22">
        <v>103625.0</v>
      </c>
      <c r="I82" s="55">
        <v>0.5488566182789467</v>
      </c>
      <c r="J82" s="25">
        <v>0.75</v>
      </c>
      <c r="K82" s="22">
        <v>762.4840491458706</v>
      </c>
      <c r="L82" s="22">
        <v>11739.079178483325</v>
      </c>
      <c r="M82" s="24">
        <v>415.1783850833706</v>
      </c>
      <c r="N82" s="24">
        <v>6392.018221427897</v>
      </c>
      <c r="O82" s="24">
        <v>762.4840491458706</v>
      </c>
      <c r="P82" s="24">
        <v>11739.079178483327</v>
      </c>
      <c r="Q82" s="24">
        <v>5347.06095705543</v>
      </c>
      <c r="R82" s="24">
        <v>10.325673017833124</v>
      </c>
    </row>
    <row r="83" ht="22.5" customHeight="1">
      <c r="A83" s="53">
        <v>45728.69083609954</v>
      </c>
      <c r="B83" s="3" t="s">
        <v>106</v>
      </c>
      <c r="C83" s="3" t="s">
        <v>146</v>
      </c>
      <c r="D83" s="3" t="s">
        <v>143</v>
      </c>
      <c r="E83" s="54">
        <v>45881.0</v>
      </c>
      <c r="F83" s="21">
        <v>2500000.0</v>
      </c>
      <c r="G83" s="3" t="s">
        <v>144</v>
      </c>
      <c r="H83" s="22">
        <v>625000.0</v>
      </c>
      <c r="I83" s="55">
        <v>0.25864443484294397</v>
      </c>
      <c r="J83" s="25">
        <v>0.75</v>
      </c>
      <c r="K83" s="22">
        <v>2167.1574716332607</v>
      </c>
      <c r="L83" s="22">
        <v>33365.20046582323</v>
      </c>
      <c r="M83" s="24">
        <v>72.430909133261</v>
      </c>
      <c r="N83" s="24">
        <v>1115.1343798435537</v>
      </c>
      <c r="O83" s="24">
        <v>2167.1574716332607</v>
      </c>
      <c r="P83" s="24">
        <v>33365.20046582323</v>
      </c>
      <c r="Q83" s="24">
        <v>32250.066085979677</v>
      </c>
      <c r="R83" s="24">
        <v>62.277883099114135</v>
      </c>
    </row>
    <row r="84" ht="22.5" customHeight="1">
      <c r="A84" s="53">
        <v>45728.69119856482</v>
      </c>
      <c r="B84" s="3" t="s">
        <v>106</v>
      </c>
      <c r="C84" s="3" t="s">
        <v>146</v>
      </c>
      <c r="D84" s="3" t="s">
        <v>143</v>
      </c>
      <c r="E84" s="54">
        <v>45992.0</v>
      </c>
      <c r="F84" s="21">
        <v>1649300.0</v>
      </c>
      <c r="G84" s="3" t="s">
        <v>148</v>
      </c>
      <c r="H84" s="22">
        <v>412325.0</v>
      </c>
      <c r="I84" s="55">
        <v>0.0</v>
      </c>
      <c r="J84" s="25">
        <v>0.75</v>
      </c>
      <c r="K84" s="22">
        <v>0.0</v>
      </c>
      <c r="L84" s="22">
        <v>0.0</v>
      </c>
      <c r="M84" s="24">
        <v>0.0</v>
      </c>
      <c r="N84" s="24">
        <v>0.0</v>
      </c>
      <c r="O84" s="24">
        <v>0.0</v>
      </c>
      <c r="P84" s="24">
        <v>0.0</v>
      </c>
      <c r="Q84" s="24">
        <v>0.0</v>
      </c>
      <c r="R84" s="24">
        <v>0.0</v>
      </c>
    </row>
    <row r="85" ht="22.5" customHeight="1">
      <c r="A85" s="53">
        <v>45728.69146164352</v>
      </c>
      <c r="B85" s="3" t="s">
        <v>106</v>
      </c>
      <c r="C85" s="3" t="s">
        <v>146</v>
      </c>
      <c r="D85" s="3" t="s">
        <v>145</v>
      </c>
      <c r="E85" s="54">
        <v>45962.0</v>
      </c>
      <c r="F85" s="21">
        <v>234700.0</v>
      </c>
      <c r="G85" s="3" t="s">
        <v>147</v>
      </c>
      <c r="H85" s="22">
        <v>58675.0</v>
      </c>
      <c r="I85" s="55">
        <v>0.03687852108524381</v>
      </c>
      <c r="J85" s="25">
        <v>0.75</v>
      </c>
      <c r="K85" s="22">
        <v>29.009076855821746</v>
      </c>
      <c r="L85" s="22">
        <v>446.61898237303467</v>
      </c>
      <c r="M85" s="24">
        <v>0.0</v>
      </c>
      <c r="N85" s="24">
        <v>0.0</v>
      </c>
      <c r="O85" s="24">
        <v>29.009076855821746</v>
      </c>
      <c r="P85" s="24">
        <v>446.6189823730346</v>
      </c>
      <c r="Q85" s="24">
        <v>446.6189823730346</v>
      </c>
      <c r="R85" s="24">
        <v>0.8624628768176439</v>
      </c>
    </row>
    <row r="86" ht="22.5" customHeight="1">
      <c r="A86" s="53">
        <v>45728.69278159722</v>
      </c>
      <c r="B86" s="3" t="s">
        <v>108</v>
      </c>
      <c r="C86" s="3" t="s">
        <v>142</v>
      </c>
      <c r="D86" s="3" t="s">
        <v>145</v>
      </c>
      <c r="E86" s="54">
        <v>45817.0</v>
      </c>
      <c r="F86" s="21">
        <v>16150.0</v>
      </c>
      <c r="G86" s="3" t="s">
        <v>144</v>
      </c>
      <c r="H86" s="22">
        <v>4037.5</v>
      </c>
      <c r="I86" s="55">
        <v>0.43386688521939853</v>
      </c>
      <c r="J86" s="25">
        <v>0.56</v>
      </c>
      <c r="K86" s="22">
        <v>34.707806685307396</v>
      </c>
      <c r="L86" s="22">
        <v>299.3376414121678</v>
      </c>
      <c r="M86" s="24">
        <v>14.70869643530739</v>
      </c>
      <c r="N86" s="24">
        <v>126.85522133717276</v>
      </c>
      <c r="O86" s="24">
        <v>34.707806685307396</v>
      </c>
      <c r="P86" s="24">
        <v>299.33764141216784</v>
      </c>
      <c r="Q86" s="24">
        <v>172.48242007499502</v>
      </c>
      <c r="R86" s="24">
        <v>0.7644958688054493</v>
      </c>
    </row>
    <row r="87" ht="22.5" customHeight="1">
      <c r="A87" s="53">
        <v>45728.69304431713</v>
      </c>
      <c r="B87" s="3" t="s">
        <v>108</v>
      </c>
      <c r="C87" s="3" t="s">
        <v>142</v>
      </c>
      <c r="D87" s="3" t="s">
        <v>143</v>
      </c>
      <c r="E87" s="54">
        <v>45720.0</v>
      </c>
      <c r="F87" s="21">
        <v>400000.0</v>
      </c>
      <c r="G87" s="3" t="s">
        <v>144</v>
      </c>
      <c r="H87" s="22">
        <v>100000.0</v>
      </c>
      <c r="I87" s="55">
        <v>0.6994384115712123</v>
      </c>
      <c r="J87" s="25">
        <v>0.56</v>
      </c>
      <c r="K87" s="22">
        <v>1385.8225046288599</v>
      </c>
      <c r="L87" s="22">
        <v>11952.032685692939</v>
      </c>
      <c r="M87" s="24">
        <v>890.4885046288598</v>
      </c>
      <c r="N87" s="24">
        <v>7680.022281358697</v>
      </c>
      <c r="O87" s="24">
        <v>1385.8225046288599</v>
      </c>
      <c r="P87" s="24">
        <v>11952.032685692939</v>
      </c>
      <c r="Q87" s="24">
        <v>4272.010404334242</v>
      </c>
      <c r="R87" s="24">
        <v>18.93488219951577</v>
      </c>
    </row>
    <row r="88" ht="22.5" customHeight="1">
      <c r="A88" s="53">
        <v>45728.69331740741</v>
      </c>
      <c r="B88" s="3" t="s">
        <v>108</v>
      </c>
      <c r="C88" s="3" t="s">
        <v>142</v>
      </c>
      <c r="D88" s="3" t="s">
        <v>143</v>
      </c>
      <c r="E88" s="54">
        <v>45910.0</v>
      </c>
      <c r="F88" s="21">
        <v>456200.0</v>
      </c>
      <c r="G88" s="3" t="s">
        <v>144</v>
      </c>
      <c r="H88" s="22">
        <v>114050.0</v>
      </c>
      <c r="I88" s="55">
        <v>0.1792467620161131</v>
      </c>
      <c r="J88" s="25">
        <v>0.56</v>
      </c>
      <c r="K88" s="22">
        <v>405.0463652424246</v>
      </c>
      <c r="L88" s="22">
        <v>3493.324275243381</v>
      </c>
      <c r="M88" s="24">
        <v>0.0</v>
      </c>
      <c r="N88" s="24">
        <v>0.0</v>
      </c>
      <c r="O88" s="24">
        <v>405.04636524242454</v>
      </c>
      <c r="P88" s="24">
        <v>3493.324275243381</v>
      </c>
      <c r="Q88" s="24">
        <v>3493.324275243381</v>
      </c>
      <c r="R88" s="24">
        <v>15.48350246744085</v>
      </c>
    </row>
    <row r="89" ht="22.5" customHeight="1">
      <c r="A89" s="53">
        <v>45728.693615462966</v>
      </c>
      <c r="B89" s="3" t="s">
        <v>108</v>
      </c>
      <c r="C89" s="3" t="s">
        <v>142</v>
      </c>
      <c r="D89" s="3" t="s">
        <v>145</v>
      </c>
      <c r="E89" s="54">
        <v>45992.0</v>
      </c>
      <c r="F89" s="21">
        <v>18800.0</v>
      </c>
      <c r="G89" s="3" t="s">
        <v>147</v>
      </c>
      <c r="H89" s="22">
        <v>4700.0</v>
      </c>
      <c r="I89" s="55">
        <v>0.0</v>
      </c>
      <c r="J89" s="25">
        <v>0.56</v>
      </c>
      <c r="K89" s="22">
        <v>0.0</v>
      </c>
      <c r="L89" s="22">
        <v>0.0</v>
      </c>
      <c r="M89" s="24">
        <v>0.0</v>
      </c>
      <c r="N89" s="24">
        <v>0.0</v>
      </c>
      <c r="O89" s="24">
        <v>0.0</v>
      </c>
      <c r="P89" s="24">
        <v>0.0</v>
      </c>
      <c r="Q89" s="24">
        <v>0.0</v>
      </c>
      <c r="R89" s="24">
        <v>0.0</v>
      </c>
    </row>
    <row r="90" ht="22.5" customHeight="1">
      <c r="A90" s="53">
        <v>45728.69396070602</v>
      </c>
      <c r="B90" s="3" t="s">
        <v>109</v>
      </c>
      <c r="C90" s="3" t="s">
        <v>146</v>
      </c>
      <c r="D90" s="3" t="s">
        <v>143</v>
      </c>
      <c r="E90" s="54">
        <v>45754.0</v>
      </c>
      <c r="F90" s="21">
        <v>1385300.0</v>
      </c>
      <c r="G90" s="3" t="s">
        <v>144</v>
      </c>
      <c r="H90" s="22">
        <v>346325.0</v>
      </c>
      <c r="I90" s="55">
        <v>0.6063514848087209</v>
      </c>
      <c r="J90" s="25">
        <v>0.75</v>
      </c>
      <c r="K90" s="22">
        <v>29087.78031058477</v>
      </c>
      <c r="L90" s="22">
        <v>47090.928106273284</v>
      </c>
      <c r="M90" s="24">
        <v>17094.82694964727</v>
      </c>
      <c r="N90" s="24">
        <v>27675.238821234034</v>
      </c>
      <c r="O90" s="24">
        <v>29087.78031058477</v>
      </c>
      <c r="P90" s="24">
        <v>47090.928106273284</v>
      </c>
      <c r="Q90" s="24">
        <v>19415.689285039247</v>
      </c>
      <c r="R90" s="24">
        <v>52.62769164641742</v>
      </c>
    </row>
    <row r="91" ht="22.5" customHeight="1">
      <c r="A91" s="53">
        <v>45728.69423865741</v>
      </c>
      <c r="B91" s="3" t="s">
        <v>109</v>
      </c>
      <c r="C91" s="3" t="s">
        <v>146</v>
      </c>
      <c r="D91" s="3" t="s">
        <v>145</v>
      </c>
      <c r="E91" s="54">
        <v>46023.0</v>
      </c>
      <c r="F91" s="21">
        <v>615200.0</v>
      </c>
      <c r="G91" s="3" t="s">
        <v>147</v>
      </c>
      <c r="H91" s="22">
        <v>153800.0</v>
      </c>
      <c r="I91" s="55">
        <v>0.0</v>
      </c>
      <c r="J91" s="25">
        <v>0.75</v>
      </c>
      <c r="K91" s="22">
        <v>0.0</v>
      </c>
      <c r="L91" s="22">
        <v>0.0</v>
      </c>
      <c r="M91" s="24">
        <v>0.0</v>
      </c>
      <c r="N91" s="24">
        <v>0.0</v>
      </c>
      <c r="O91" s="24">
        <v>0.0</v>
      </c>
      <c r="P91" s="24">
        <v>0.0</v>
      </c>
      <c r="Q91" s="24">
        <v>0.0</v>
      </c>
      <c r="R91" s="24">
        <v>0.0</v>
      </c>
    </row>
    <row r="92" ht="22.5" customHeight="1">
      <c r="A92" s="53">
        <v>45728.69460633102</v>
      </c>
      <c r="B92" s="3" t="s">
        <v>113</v>
      </c>
      <c r="C92" s="3" t="s">
        <v>142</v>
      </c>
      <c r="D92" s="3" t="s">
        <v>145</v>
      </c>
      <c r="E92" s="54">
        <v>45727.0</v>
      </c>
      <c r="F92" s="21">
        <v>11800.0</v>
      </c>
      <c r="G92" s="3" t="s">
        <v>144</v>
      </c>
      <c r="H92" s="22">
        <v>2950.0</v>
      </c>
      <c r="I92" s="55">
        <v>0.6802734560612876</v>
      </c>
      <c r="J92" s="25">
        <v>0.56</v>
      </c>
      <c r="K92" s="22">
        <v>7.456490957356896</v>
      </c>
      <c r="L92" s="22">
        <v>329.39758313128067</v>
      </c>
      <c r="M92" s="24">
        <v>4.716235957356895</v>
      </c>
      <c r="N92" s="24">
        <v>208.34421106585484</v>
      </c>
      <c r="O92" s="24">
        <v>7.4564909573568965</v>
      </c>
      <c r="P92" s="24">
        <v>329.39758313128067</v>
      </c>
      <c r="Q92" s="24">
        <v>121.05337206542586</v>
      </c>
      <c r="R92" s="24">
        <v>0.32388760869318556</v>
      </c>
    </row>
    <row r="93" ht="22.5" customHeight="1">
      <c r="A93" s="53">
        <v>45728.695208958336</v>
      </c>
      <c r="B93" s="3" t="s">
        <v>113</v>
      </c>
      <c r="C93" s="3" t="s">
        <v>142</v>
      </c>
      <c r="D93" s="3" t="s">
        <v>143</v>
      </c>
      <c r="E93" s="54">
        <v>45765.0</v>
      </c>
      <c r="F93" s="21">
        <v>476100.0</v>
      </c>
      <c r="G93" s="3" t="s">
        <v>144</v>
      </c>
      <c r="H93" s="22">
        <v>119025.0</v>
      </c>
      <c r="I93" s="55">
        <v>0.5762351261502678</v>
      </c>
      <c r="J93" s="25">
        <v>0.56</v>
      </c>
      <c r="K93" s="22">
        <v>254.83957541301643</v>
      </c>
      <c r="L93" s="22">
        <v>11257.780731890653</v>
      </c>
      <c r="M93" s="24">
        <v>144.2772529130164</v>
      </c>
      <c r="N93" s="24">
        <v>6373.584931861056</v>
      </c>
      <c r="O93" s="24">
        <v>254.8395754130164</v>
      </c>
      <c r="P93" s="24">
        <v>11257.78073189065</v>
      </c>
      <c r="Q93" s="24">
        <v>4884.195800029595</v>
      </c>
      <c r="R93" s="24">
        <v>13.068041567697083</v>
      </c>
    </row>
    <row r="94" ht="22.5" customHeight="1">
      <c r="A94" s="53">
        <v>45728.69549225694</v>
      </c>
      <c r="B94" s="3" t="s">
        <v>113</v>
      </c>
      <c r="C94" s="3" t="s">
        <v>142</v>
      </c>
      <c r="D94" s="3" t="s">
        <v>143</v>
      </c>
      <c r="E94" s="54">
        <v>45854.0</v>
      </c>
      <c r="F94" s="21">
        <v>476100.0</v>
      </c>
      <c r="G94" s="3" t="s">
        <v>144</v>
      </c>
      <c r="H94" s="22">
        <v>119025.0</v>
      </c>
      <c r="I94" s="55">
        <v>0.3325664060955107</v>
      </c>
      <c r="J94" s="25">
        <v>0.56</v>
      </c>
      <c r="K94" s="22">
        <v>147.07725697359132</v>
      </c>
      <c r="L94" s="22">
        <v>6497.277775530523</v>
      </c>
      <c r="M94" s="24">
        <v>36.51493447359128</v>
      </c>
      <c r="N94" s="24">
        <v>1613.0819755009259</v>
      </c>
      <c r="O94" s="24">
        <v>147.0772569735913</v>
      </c>
      <c r="P94" s="24">
        <v>6497.277775530522</v>
      </c>
      <c r="Q94" s="24">
        <v>4884.195800029597</v>
      </c>
      <c r="R94" s="24">
        <v>13.068041567697087</v>
      </c>
    </row>
    <row r="95" ht="22.5" customHeight="1">
      <c r="A95" s="53">
        <v>45728.69575908565</v>
      </c>
      <c r="B95" s="3" t="s">
        <v>113</v>
      </c>
      <c r="C95" s="3" t="s">
        <v>142</v>
      </c>
      <c r="D95" s="3" t="s">
        <v>145</v>
      </c>
      <c r="E95" s="54">
        <v>45962.0</v>
      </c>
      <c r="F95" s="21">
        <v>20850.0</v>
      </c>
      <c r="G95" s="3" t="s">
        <v>147</v>
      </c>
      <c r="H95" s="22">
        <v>5212.5</v>
      </c>
      <c r="I95" s="55">
        <v>0.03687852108524381</v>
      </c>
      <c r="J95" s="25">
        <v>0.56</v>
      </c>
      <c r="K95" s="22">
        <v>0.7142471542223301</v>
      </c>
      <c r="L95" s="22">
        <v>31.552547666821994</v>
      </c>
      <c r="M95" s="24">
        <v>0.0</v>
      </c>
      <c r="N95" s="24">
        <v>0.0</v>
      </c>
      <c r="O95" s="24">
        <v>0.7142471542223301</v>
      </c>
      <c r="P95" s="24">
        <v>31.552547666821994</v>
      </c>
      <c r="Q95" s="24">
        <v>31.552547666821994</v>
      </c>
      <c r="R95" s="24">
        <v>0.08442126838450559</v>
      </c>
    </row>
    <row r="96" ht="22.5" customHeight="1">
      <c r="A96" s="53">
        <v>45728.69636796296</v>
      </c>
      <c r="B96" s="3" t="s">
        <v>116</v>
      </c>
      <c r="C96" s="3" t="s">
        <v>146</v>
      </c>
      <c r="D96" s="3" t="s">
        <v>143</v>
      </c>
      <c r="E96" s="54">
        <v>45755.0</v>
      </c>
      <c r="F96" s="21">
        <v>441100.0</v>
      </c>
      <c r="G96" s="3" t="s">
        <v>144</v>
      </c>
      <c r="H96" s="22">
        <v>110275.0</v>
      </c>
      <c r="I96" s="55">
        <v>0.6036136340215889</v>
      </c>
      <c r="J96" s="25">
        <v>0.75</v>
      </c>
      <c r="K96" s="22">
        <v>333.0337988125017</v>
      </c>
      <c r="L96" s="22">
        <v>12638.580223091758</v>
      </c>
      <c r="M96" s="24">
        <v>195.10045037500169</v>
      </c>
      <c r="N96" s="24">
        <v>7404.031369843139</v>
      </c>
      <c r="O96" s="24">
        <v>333.0337988125017</v>
      </c>
      <c r="P96" s="24">
        <v>12638.58022309176</v>
      </c>
      <c r="Q96" s="24">
        <v>5234.548853248619</v>
      </c>
      <c r="R96" s="24">
        <v>12.011569808446541</v>
      </c>
    </row>
    <row r="97" ht="22.5" customHeight="1">
      <c r="A97" s="53">
        <v>45728.696690150464</v>
      </c>
      <c r="B97" s="3" t="s">
        <v>116</v>
      </c>
      <c r="C97" s="3" t="s">
        <v>146</v>
      </c>
      <c r="D97" s="3" t="s">
        <v>143</v>
      </c>
      <c r="E97" s="54">
        <v>45839.0</v>
      </c>
      <c r="F97" s="21">
        <v>1076900.0</v>
      </c>
      <c r="G97" s="3" t="s">
        <v>147</v>
      </c>
      <c r="H97" s="22">
        <v>269225.0</v>
      </c>
      <c r="I97" s="55">
        <v>0.37363416790249226</v>
      </c>
      <c r="J97" s="25">
        <v>0.75</v>
      </c>
      <c r="K97" s="22">
        <v>503.28521715901644</v>
      </c>
      <c r="L97" s="22">
        <v>19099.594740357054</v>
      </c>
      <c r="M97" s="24">
        <v>166.53522184651644</v>
      </c>
      <c r="N97" s="24">
        <v>6319.985445268778</v>
      </c>
      <c r="O97" s="24">
        <v>503.2852171590164</v>
      </c>
      <c r="P97" s="24">
        <v>19099.59474035705</v>
      </c>
      <c r="Q97" s="24">
        <v>12779.60929508827</v>
      </c>
      <c r="R97" s="24">
        <v>29.32500459468619</v>
      </c>
    </row>
    <row r="98" ht="22.5" customHeight="1">
      <c r="A98" s="53">
        <v>45728.696954872685</v>
      </c>
      <c r="B98" s="3" t="s">
        <v>116</v>
      </c>
      <c r="C98" s="3" t="s">
        <v>146</v>
      </c>
      <c r="D98" s="3" t="s">
        <v>145</v>
      </c>
      <c r="E98" s="54">
        <v>45992.0</v>
      </c>
      <c r="F98" s="21">
        <v>78100.0</v>
      </c>
      <c r="G98" s="3" t="s">
        <v>147</v>
      </c>
      <c r="H98" s="22">
        <v>19525.0</v>
      </c>
      <c r="I98" s="55">
        <v>0.0</v>
      </c>
      <c r="J98" s="25">
        <v>0.75</v>
      </c>
      <c r="K98" s="22">
        <v>0.0</v>
      </c>
      <c r="L98" s="22">
        <v>0.0</v>
      </c>
      <c r="M98" s="24">
        <v>0.0</v>
      </c>
      <c r="N98" s="24">
        <v>0.0</v>
      </c>
      <c r="O98" s="24">
        <v>0.0</v>
      </c>
      <c r="P98" s="24">
        <v>0.0</v>
      </c>
      <c r="Q98" s="24">
        <v>0.0</v>
      </c>
      <c r="R98" s="24">
        <v>0.0</v>
      </c>
    </row>
    <row r="99" ht="22.5" customHeight="1">
      <c r="A99" s="53">
        <v>45728.697329710645</v>
      </c>
      <c r="B99" s="3" t="s">
        <v>117</v>
      </c>
      <c r="C99" s="3" t="s">
        <v>146</v>
      </c>
      <c r="D99" s="3" t="s">
        <v>143</v>
      </c>
      <c r="E99" s="54">
        <v>45770.0</v>
      </c>
      <c r="F99" s="21">
        <v>268050.0</v>
      </c>
      <c r="G99" s="3" t="s">
        <v>144</v>
      </c>
      <c r="H99" s="22">
        <v>67012.5</v>
      </c>
      <c r="I99" s="55">
        <v>0.5625458722146073</v>
      </c>
      <c r="J99" s="25">
        <v>0.75</v>
      </c>
      <c r="K99" s="22">
        <v>225.45052826808347</v>
      </c>
      <c r="L99" s="22">
        <v>1924.4707114500723</v>
      </c>
      <c r="M99" s="24">
        <v>125.25846420558348</v>
      </c>
      <c r="N99" s="24">
        <v>1069.220141450378</v>
      </c>
      <c r="O99" s="24">
        <v>225.45052826808347</v>
      </c>
      <c r="P99" s="24">
        <v>1924.4707114500723</v>
      </c>
      <c r="Q99" s="24">
        <v>855.2505699996943</v>
      </c>
      <c r="R99" s="24">
        <v>2.0021278602272172</v>
      </c>
    </row>
    <row r="100" ht="22.5" customHeight="1">
      <c r="A100" s="53">
        <v>45728.69756</v>
      </c>
      <c r="B100" s="3" t="s">
        <v>117</v>
      </c>
      <c r="C100" s="3" t="s">
        <v>146</v>
      </c>
      <c r="D100" s="3" t="s">
        <v>143</v>
      </c>
      <c r="E100" s="54">
        <v>45833.0</v>
      </c>
      <c r="F100" s="21">
        <v>268050.0</v>
      </c>
      <c r="G100" s="3" t="s">
        <v>144</v>
      </c>
      <c r="H100" s="22">
        <v>67012.5</v>
      </c>
      <c r="I100" s="55">
        <v>0.3900612726252849</v>
      </c>
      <c r="J100" s="25">
        <v>0.75</v>
      </c>
      <c r="K100" s="22">
        <v>156.3241760606913</v>
      </c>
      <c r="L100" s="22">
        <v>1334.4005029903242</v>
      </c>
      <c r="M100" s="24">
        <v>56.132111998191284</v>
      </c>
      <c r="N100" s="24">
        <v>479.14993299062996</v>
      </c>
      <c r="O100" s="24">
        <v>156.3241760606913</v>
      </c>
      <c r="P100" s="24">
        <v>1334.4005029903244</v>
      </c>
      <c r="Q100" s="24">
        <v>855.2505699996944</v>
      </c>
      <c r="R100" s="24">
        <v>2.0021278602272177</v>
      </c>
    </row>
    <row r="101" ht="22.5" customHeight="1">
      <c r="A101" s="53">
        <v>45728.69821123843</v>
      </c>
      <c r="B101" s="3" t="s">
        <v>119</v>
      </c>
      <c r="C101" s="3" t="s">
        <v>146</v>
      </c>
      <c r="D101" s="3" t="s">
        <v>143</v>
      </c>
      <c r="E101" s="54">
        <v>45827.0</v>
      </c>
      <c r="F101" s="21">
        <v>325800.0</v>
      </c>
      <c r="G101" s="3" t="s">
        <v>144</v>
      </c>
      <c r="H101" s="22">
        <v>81450.0</v>
      </c>
      <c r="I101" s="55">
        <v>0.4064883773480775</v>
      </c>
      <c r="J101" s="25">
        <v>0.75</v>
      </c>
      <c r="K101" s="22">
        <v>85.81717584432238</v>
      </c>
      <c r="L101" s="22">
        <v>5719.412355661968</v>
      </c>
      <c r="M101" s="24">
        <v>33.03757584432237</v>
      </c>
      <c r="N101" s="24">
        <v>2201.838007672423</v>
      </c>
      <c r="O101" s="24">
        <v>85.81717584432236</v>
      </c>
      <c r="P101" s="24">
        <v>5719.412355661967</v>
      </c>
      <c r="Q101" s="24">
        <v>3517.5743479895445</v>
      </c>
      <c r="R101" s="24">
        <v>5.672580432114613</v>
      </c>
    </row>
    <row r="102" ht="22.5" customHeight="1">
      <c r="A102" s="53">
        <v>45728.698440844906</v>
      </c>
      <c r="B102" s="3" t="s">
        <v>119</v>
      </c>
      <c r="C102" s="3" t="s">
        <v>146</v>
      </c>
      <c r="D102" s="3" t="s">
        <v>145</v>
      </c>
      <c r="E102" s="54">
        <v>45931.0</v>
      </c>
      <c r="F102" s="21">
        <v>16800.0</v>
      </c>
      <c r="G102" s="3" t="s">
        <v>147</v>
      </c>
      <c r="H102" s="22">
        <v>4200.0</v>
      </c>
      <c r="I102" s="55">
        <v>0.12175189548633894</v>
      </c>
      <c r="J102" s="25">
        <v>0.75</v>
      </c>
      <c r="K102" s="22">
        <v>1.3254398350224803</v>
      </c>
      <c r="L102" s="22">
        <v>88.33589423714032</v>
      </c>
      <c r="M102" s="24">
        <v>0.0</v>
      </c>
      <c r="N102" s="24">
        <v>0.0</v>
      </c>
      <c r="O102" s="24">
        <v>1.3254398350224803</v>
      </c>
      <c r="P102" s="24">
        <v>88.33589423714032</v>
      </c>
      <c r="Q102" s="24">
        <v>88.33589423714032</v>
      </c>
      <c r="R102" s="24">
        <v>0.14245397979700006</v>
      </c>
    </row>
    <row r="103" ht="22.5" customHeight="1">
      <c r="A103" s="53">
        <v>45728.698933611115</v>
      </c>
      <c r="B103" s="3" t="s">
        <v>120</v>
      </c>
      <c r="C103" s="3" t="s">
        <v>146</v>
      </c>
      <c r="D103" s="3" t="s">
        <v>143</v>
      </c>
      <c r="E103" s="54">
        <v>45791.0</v>
      </c>
      <c r="F103" s="21">
        <v>577300.0</v>
      </c>
      <c r="G103" s="3" t="s">
        <v>144</v>
      </c>
      <c r="H103" s="22">
        <v>144325.0</v>
      </c>
      <c r="I103" s="55">
        <v>0.5050510056848332</v>
      </c>
      <c r="J103" s="25">
        <v>0.75</v>
      </c>
      <c r="K103" s="22">
        <v>871.6910629317498</v>
      </c>
      <c r="L103" s="22">
        <v>14125.979403396683</v>
      </c>
      <c r="M103" s="24">
        <v>440.20441449424976</v>
      </c>
      <c r="N103" s="24">
        <v>7133.626529926853</v>
      </c>
      <c r="O103" s="24">
        <v>871.6910629317498</v>
      </c>
      <c r="P103" s="24">
        <v>14125.979403396683</v>
      </c>
      <c r="Q103" s="24">
        <v>6992.35287346983</v>
      </c>
      <c r="R103" s="24">
        <v>8.867998166117275</v>
      </c>
    </row>
    <row r="104" ht="22.5" customHeight="1">
      <c r="A104" s="53">
        <v>45728.69990028936</v>
      </c>
      <c r="B104" s="3" t="s">
        <v>120</v>
      </c>
      <c r="C104" s="3" t="s">
        <v>146</v>
      </c>
      <c r="D104" s="3" t="s">
        <v>145</v>
      </c>
      <c r="E104" s="54">
        <v>45763.0</v>
      </c>
      <c r="F104" s="21">
        <v>146800.0</v>
      </c>
      <c r="G104" s="3" t="s">
        <v>144</v>
      </c>
      <c r="H104" s="22">
        <v>36700.0</v>
      </c>
      <c r="I104" s="55">
        <v>0.581710827724532</v>
      </c>
      <c r="J104" s="25">
        <v>0.75</v>
      </c>
      <c r="K104" s="22">
        <v>255.3048110505624</v>
      </c>
      <c r="L104" s="22">
        <v>4137.280575481473</v>
      </c>
      <c r="M104" s="24">
        <v>145.5832798005624</v>
      </c>
      <c r="N104" s="24">
        <v>2359.214748657688</v>
      </c>
      <c r="O104" s="24">
        <v>255.30481105056242</v>
      </c>
      <c r="P104" s="24">
        <v>4137.280575481473</v>
      </c>
      <c r="Q104" s="24">
        <v>1778.0658268237848</v>
      </c>
      <c r="R104" s="24">
        <v>2.2550184146648466</v>
      </c>
    </row>
    <row r="105" ht="22.5" customHeight="1">
      <c r="A105" s="53">
        <v>45728.70017295139</v>
      </c>
      <c r="B105" s="3" t="s">
        <v>120</v>
      </c>
      <c r="C105" s="3" t="s">
        <v>146</v>
      </c>
      <c r="D105" s="3" t="s">
        <v>143</v>
      </c>
      <c r="E105" s="54">
        <v>46023.0</v>
      </c>
      <c r="F105" s="21">
        <v>3921100.0</v>
      </c>
      <c r="G105" s="3" t="s">
        <v>147</v>
      </c>
      <c r="H105" s="22">
        <v>980275.0</v>
      </c>
      <c r="I105" s="55">
        <v>0.0</v>
      </c>
      <c r="J105" s="25">
        <v>0.75</v>
      </c>
      <c r="K105" s="22">
        <v>0.0</v>
      </c>
      <c r="L105" s="22">
        <v>0.0</v>
      </c>
      <c r="M105" s="24">
        <v>0.0</v>
      </c>
      <c r="N105" s="24">
        <v>0.0</v>
      </c>
      <c r="O105" s="24">
        <v>0.0</v>
      </c>
      <c r="P105" s="24">
        <v>0.0</v>
      </c>
      <c r="Q105" s="24">
        <v>0.0</v>
      </c>
      <c r="R105" s="24">
        <v>0.0</v>
      </c>
    </row>
    <row r="106" ht="22.5" customHeight="1">
      <c r="A106" s="53">
        <v>45728.70064614584</v>
      </c>
      <c r="B106" s="3" t="s">
        <v>120</v>
      </c>
      <c r="C106" s="3" t="s">
        <v>146</v>
      </c>
      <c r="D106" s="3" t="s">
        <v>145</v>
      </c>
      <c r="E106" s="54">
        <v>45903.0</v>
      </c>
      <c r="F106" s="21">
        <v>201700.0</v>
      </c>
      <c r="G106" s="3" t="s">
        <v>144</v>
      </c>
      <c r="H106" s="22">
        <v>50425.0</v>
      </c>
      <c r="I106" s="55">
        <v>0.19841171752603778</v>
      </c>
      <c r="J106" s="25">
        <v>0.75</v>
      </c>
      <c r="K106" s="22">
        <v>119.64622770218514</v>
      </c>
      <c r="L106" s="22">
        <v>1938.8981028792618</v>
      </c>
      <c r="M106" s="24">
        <v>0.0</v>
      </c>
      <c r="N106" s="24">
        <v>0.0</v>
      </c>
      <c r="O106" s="24">
        <v>119.64622770218514</v>
      </c>
      <c r="P106" s="24">
        <v>1938.8981028792616</v>
      </c>
      <c r="Q106" s="24">
        <v>1938.8981028792616</v>
      </c>
      <c r="R106" s="24">
        <v>2.458992721299729</v>
      </c>
    </row>
    <row r="107" ht="22.5" customHeight="1">
      <c r="A107" s="53">
        <v>45929.66781979166</v>
      </c>
      <c r="B107" s="3" t="s">
        <v>73</v>
      </c>
      <c r="C107" s="3" t="s">
        <v>142</v>
      </c>
      <c r="D107" s="3" t="s">
        <v>143</v>
      </c>
      <c r="E107" s="54">
        <v>45817.0</v>
      </c>
      <c r="F107" s="21">
        <v>222100.0</v>
      </c>
      <c r="G107" s="3" t="s">
        <v>144</v>
      </c>
      <c r="H107" s="56">
        <v>55525.0</v>
      </c>
      <c r="I107" s="56">
        <v>0.43386688521939853</v>
      </c>
      <c r="J107" s="56">
        <v>0.56</v>
      </c>
      <c r="K107" s="56">
        <v>133.93524199123095</v>
      </c>
      <c r="L107" s="56">
        <v>4902.448555532371</v>
      </c>
      <c r="M107" s="56">
        <v>56.75993399123093</v>
      </c>
      <c r="N107" s="56">
        <v>2077.591022873885</v>
      </c>
      <c r="O107" s="56">
        <v>133.93524199123095</v>
      </c>
      <c r="P107" s="56">
        <v>4902.448555532371</v>
      </c>
      <c r="Q107" s="56">
        <v>2824.857532658486</v>
      </c>
      <c r="R107" s="56">
        <v>5.469146201476094</v>
      </c>
    </row>
    <row r="108" ht="22.5" customHeight="1">
      <c r="A108" s="53">
        <v>45929.668437280096</v>
      </c>
      <c r="B108" s="3" t="s">
        <v>73</v>
      </c>
      <c r="C108" s="3" t="s">
        <v>142</v>
      </c>
      <c r="D108" s="3" t="s">
        <v>145</v>
      </c>
      <c r="E108" s="54">
        <v>45817.0</v>
      </c>
      <c r="F108" s="21">
        <v>13100.0</v>
      </c>
      <c r="G108" s="3" t="s">
        <v>144</v>
      </c>
      <c r="H108" s="56">
        <v>3275.0</v>
      </c>
      <c r="I108" s="56">
        <v>0.43386688521939853</v>
      </c>
      <c r="J108" s="56">
        <v>0.56</v>
      </c>
      <c r="K108" s="56">
        <v>7.899827420464318</v>
      </c>
      <c r="L108" s="56">
        <v>289.1583794573348</v>
      </c>
      <c r="M108" s="56">
        <v>3.3478394204643176</v>
      </c>
      <c r="N108" s="56">
        <v>122.54138856212467</v>
      </c>
      <c r="O108" s="56">
        <v>7.899827420464318</v>
      </c>
      <c r="P108" s="56">
        <v>289.1583794573348</v>
      </c>
      <c r="Q108" s="56">
        <v>166.6169908952101</v>
      </c>
      <c r="R108" s="56">
        <v>0.3225835895512689</v>
      </c>
    </row>
    <row r="109" ht="22.5" customHeight="1">
      <c r="A109" s="53">
        <v>45929.66900898148</v>
      </c>
      <c r="B109" s="3" t="s">
        <v>79</v>
      </c>
      <c r="C109" s="3" t="s">
        <v>146</v>
      </c>
      <c r="D109" s="3" t="s">
        <v>143</v>
      </c>
      <c r="E109" s="54">
        <v>45931.0</v>
      </c>
      <c r="F109" s="21">
        <v>800000.0</v>
      </c>
      <c r="G109" s="3" t="s">
        <v>148</v>
      </c>
      <c r="H109" s="56">
        <v>200000.0</v>
      </c>
      <c r="I109" s="56">
        <v>0.12175189548633894</v>
      </c>
      <c r="J109" s="56">
        <v>0.75</v>
      </c>
      <c r="K109" s="56">
        <v>294.87091567836427</v>
      </c>
      <c r="L109" s="56">
        <v>6455.690565778609</v>
      </c>
      <c r="M109" s="56">
        <v>0.0</v>
      </c>
      <c r="N109" s="56">
        <v>0.0</v>
      </c>
      <c r="O109" s="56">
        <v>294.8709156783643</v>
      </c>
      <c r="P109" s="56">
        <v>6455.690565778609</v>
      </c>
      <c r="Q109" s="56">
        <v>6455.690565778609</v>
      </c>
      <c r="R109" s="56">
        <v>12.806122828536346</v>
      </c>
    </row>
    <row r="110" ht="22.5" customHeight="1">
      <c r="A110" s="53">
        <v>45929.66951541667</v>
      </c>
      <c r="B110" s="3" t="s">
        <v>79</v>
      </c>
      <c r="C110" s="3" t="s">
        <v>146</v>
      </c>
      <c r="D110" s="3" t="s">
        <v>143</v>
      </c>
      <c r="E110" s="54">
        <v>45992.0</v>
      </c>
      <c r="F110" s="21">
        <v>501700.0</v>
      </c>
      <c r="G110" s="3" t="s">
        <v>148</v>
      </c>
      <c r="H110" s="56">
        <v>125425.0</v>
      </c>
      <c r="I110" s="56">
        <v>0.0</v>
      </c>
      <c r="J110" s="56">
        <v>0.75</v>
      </c>
      <c r="K110" s="56">
        <v>0.0</v>
      </c>
      <c r="L110" s="56">
        <v>0.0</v>
      </c>
      <c r="M110" s="56">
        <v>0.0</v>
      </c>
      <c r="N110" s="56">
        <v>0.0</v>
      </c>
      <c r="O110" s="56">
        <v>0.0</v>
      </c>
      <c r="P110" s="56">
        <v>0.0</v>
      </c>
      <c r="Q110" s="56">
        <v>0.0</v>
      </c>
      <c r="R110" s="56">
        <v>0.0</v>
      </c>
    </row>
    <row r="111" ht="22.5" customHeight="1">
      <c r="A111" s="53">
        <v>45929.66990466435</v>
      </c>
      <c r="B111" s="3" t="s">
        <v>79</v>
      </c>
      <c r="C111" s="3" t="s">
        <v>146</v>
      </c>
      <c r="D111" s="3" t="s">
        <v>143</v>
      </c>
      <c r="E111" s="54">
        <v>45882.0</v>
      </c>
      <c r="F111" s="21">
        <v>800000.0</v>
      </c>
      <c r="G111" s="3" t="s">
        <v>144</v>
      </c>
      <c r="H111" s="56">
        <v>200000.0</v>
      </c>
      <c r="I111" s="56">
        <v>0.2559065840558119</v>
      </c>
      <c r="J111" s="56">
        <v>0.75</v>
      </c>
      <c r="K111" s="56">
        <v>619.7801559247708</v>
      </c>
      <c r="L111" s="56">
        <v>13569.0184847685</v>
      </c>
      <c r="M111" s="56">
        <v>14.30515592477085</v>
      </c>
      <c r="N111" s="56">
        <v>313.18673777330815</v>
      </c>
      <c r="O111" s="56">
        <v>619.780155924771</v>
      </c>
      <c r="P111" s="56">
        <v>13569.0184847685</v>
      </c>
      <c r="Q111" s="56">
        <v>13255.83174699519</v>
      </c>
      <c r="R111" s="56">
        <v>26.29553071305827</v>
      </c>
    </row>
    <row r="112" ht="22.5" customHeight="1">
      <c r="A112" s="53">
        <v>45929.67019269676</v>
      </c>
      <c r="B112" s="3" t="s">
        <v>79</v>
      </c>
      <c r="C112" s="3" t="s">
        <v>146</v>
      </c>
      <c r="D112" s="3" t="s">
        <v>145</v>
      </c>
      <c r="E112" s="54">
        <v>45962.0</v>
      </c>
      <c r="F112" s="21">
        <v>108100.0</v>
      </c>
      <c r="G112" s="3" t="s">
        <v>147</v>
      </c>
      <c r="H112" s="56">
        <v>27025.0</v>
      </c>
      <c r="I112" s="56">
        <v>0.03687852108524381</v>
      </c>
      <c r="J112" s="56">
        <v>0.75</v>
      </c>
      <c r="K112" s="56">
        <v>12.068836690484563</v>
      </c>
      <c r="L112" s="56">
        <v>264.2263818506555</v>
      </c>
      <c r="M112" s="56">
        <v>0.0</v>
      </c>
      <c r="N112" s="56">
        <v>0.0</v>
      </c>
      <c r="O112" s="56">
        <v>12.068836690484563</v>
      </c>
      <c r="P112" s="56">
        <v>264.2263818506555</v>
      </c>
      <c r="Q112" s="56">
        <v>264.2263818506555</v>
      </c>
      <c r="R112" s="56">
        <v>0.5241446234204903</v>
      </c>
    </row>
    <row r="113" ht="22.5" customHeight="1">
      <c r="A113" s="53">
        <v>45929.67061755787</v>
      </c>
      <c r="B113" s="3" t="s">
        <v>79</v>
      </c>
      <c r="C113" s="3" t="s">
        <v>142</v>
      </c>
      <c r="D113" s="3" t="s">
        <v>143</v>
      </c>
      <c r="E113" s="54">
        <v>45757.0</v>
      </c>
      <c r="F113" s="21">
        <v>487700.0</v>
      </c>
      <c r="G113" s="3" t="s">
        <v>144</v>
      </c>
      <c r="H113" s="56">
        <v>121925.0</v>
      </c>
      <c r="I113" s="56">
        <v>0.5981379324473246</v>
      </c>
      <c r="J113" s="56">
        <v>0.56</v>
      </c>
      <c r="K113" s="56">
        <v>659.3971786419542</v>
      </c>
      <c r="L113" s="56">
        <v>14436.364927571041</v>
      </c>
      <c r="M113" s="56">
        <v>383.7930316419541</v>
      </c>
      <c r="N113" s="56">
        <v>8402.487060762121</v>
      </c>
      <c r="O113" s="56">
        <v>659.3971786419542</v>
      </c>
      <c r="P113" s="56">
        <v>14436.364927571041</v>
      </c>
      <c r="Q113" s="56">
        <v>6033.877866808919</v>
      </c>
      <c r="R113" s="56">
        <v>11.969374973507952</v>
      </c>
    </row>
    <row r="114" ht="22.5" customHeight="1">
      <c r="A114" s="53">
        <v>45929.670937372684</v>
      </c>
      <c r="B114" s="3" t="s">
        <v>79</v>
      </c>
      <c r="C114" s="3" t="s">
        <v>142</v>
      </c>
      <c r="D114" s="3" t="s">
        <v>145</v>
      </c>
      <c r="E114" s="54">
        <v>45852.0</v>
      </c>
      <c r="F114" s="21">
        <v>8800.0</v>
      </c>
      <c r="G114" s="3" t="s">
        <v>144</v>
      </c>
      <c r="H114" s="56">
        <v>2200.0</v>
      </c>
      <c r="I114" s="56">
        <v>0.33804210766977494</v>
      </c>
      <c r="J114" s="56">
        <v>0.56</v>
      </c>
      <c r="K114" s="56">
        <v>6.724290336377383</v>
      </c>
      <c r="L114" s="56">
        <v>147.21674935705732</v>
      </c>
      <c r="M114" s="56">
        <v>1.7513223363773815</v>
      </c>
      <c r="N114" s="56">
        <v>38.342184608403464</v>
      </c>
      <c r="O114" s="56">
        <v>6.724290336377383</v>
      </c>
      <c r="P114" s="56">
        <v>147.21674935705732</v>
      </c>
      <c r="Q114" s="56">
        <v>108.87456474865385</v>
      </c>
      <c r="R114" s="56">
        <v>0.21597395892325194</v>
      </c>
    </row>
    <row r="115" ht="22.5" customHeight="1">
      <c r="A115" s="53">
        <v>45929.68115643518</v>
      </c>
      <c r="B115" s="3" t="s">
        <v>88</v>
      </c>
      <c r="C115" s="3" t="s">
        <v>146</v>
      </c>
      <c r="D115" s="3" t="s">
        <v>143</v>
      </c>
      <c r="E115" s="54">
        <v>45846.0</v>
      </c>
      <c r="F115" s="21">
        <v>868600.0</v>
      </c>
      <c r="G115" s="3" t="s">
        <v>144</v>
      </c>
      <c r="H115" s="56">
        <v>217150.0</v>
      </c>
      <c r="I115" s="56">
        <v>0.35446921239256757</v>
      </c>
      <c r="J115" s="56">
        <v>0.75</v>
      </c>
      <c r="K115" s="56">
        <v>621.8070521944777</v>
      </c>
      <c r="L115" s="56">
        <v>14514.879054734787</v>
      </c>
      <c r="M115" s="56">
        <v>183.2590553194777</v>
      </c>
      <c r="N115" s="56">
        <v>4277.827043388419</v>
      </c>
      <c r="O115" s="56">
        <v>621.8070521944778</v>
      </c>
      <c r="P115" s="56">
        <v>14514.879054734789</v>
      </c>
      <c r="Q115" s="56">
        <v>10237.05201134637</v>
      </c>
      <c r="R115" s="56">
        <v>14.071515934656789</v>
      </c>
    </row>
    <row r="116" ht="22.5" customHeight="1">
      <c r="A116" s="53">
        <v>45929.68159608796</v>
      </c>
      <c r="B116" s="3" t="s">
        <v>88</v>
      </c>
      <c r="C116" s="3" t="s">
        <v>146</v>
      </c>
      <c r="D116" s="3" t="s">
        <v>145</v>
      </c>
      <c r="E116" s="54">
        <v>45962.0</v>
      </c>
      <c r="F116" s="21">
        <v>495700.0</v>
      </c>
      <c r="G116" s="3" t="s">
        <v>147</v>
      </c>
      <c r="H116" s="56">
        <v>123925.0</v>
      </c>
      <c r="I116" s="56">
        <v>0.03687852108524381</v>
      </c>
      <c r="J116" s="56">
        <v>0.75</v>
      </c>
      <c r="K116" s="56">
        <v>36.91898166318021</v>
      </c>
      <c r="L116" s="56">
        <v>861.8019878896949</v>
      </c>
      <c r="M116" s="56">
        <v>0.0</v>
      </c>
      <c r="N116" s="56">
        <v>0.0</v>
      </c>
      <c r="O116" s="56">
        <v>36.91898166318021</v>
      </c>
      <c r="P116" s="56">
        <v>861.8019878896949</v>
      </c>
      <c r="Q116" s="56">
        <v>861.8019878896949</v>
      </c>
      <c r="R116" s="56">
        <v>1.1846047467247187</v>
      </c>
    </row>
    <row r="117" ht="22.5" customHeight="1">
      <c r="A117" s="53">
        <v>45929.682224918986</v>
      </c>
      <c r="B117" s="3" t="s">
        <v>90</v>
      </c>
      <c r="C117" s="3" t="s">
        <v>146</v>
      </c>
      <c r="D117" s="3" t="s">
        <v>143</v>
      </c>
      <c r="E117" s="54">
        <v>45931.0</v>
      </c>
      <c r="F117" s="21">
        <v>2000000.0</v>
      </c>
      <c r="G117" s="3" t="s">
        <v>148</v>
      </c>
      <c r="H117" s="56">
        <v>500000.0</v>
      </c>
      <c r="I117" s="56">
        <v>0.12175189548633894</v>
      </c>
      <c r="J117" s="56">
        <v>0.75</v>
      </c>
      <c r="K117" s="56">
        <v>3080.201203908889</v>
      </c>
      <c r="L117" s="56">
        <v>14302.877982648579</v>
      </c>
      <c r="M117" s="56">
        <v>0.0</v>
      </c>
      <c r="N117" s="56">
        <v>0.0</v>
      </c>
      <c r="O117" s="56">
        <v>3080.201203908889</v>
      </c>
      <c r="P117" s="56">
        <v>14302.87798264858</v>
      </c>
      <c r="Q117" s="56">
        <v>14302.87798264858</v>
      </c>
      <c r="R117" s="56">
        <v>29.116258967601393</v>
      </c>
    </row>
    <row r="118" ht="22.5" customHeight="1">
      <c r="A118" s="53">
        <v>45929.68402799769</v>
      </c>
      <c r="B118" s="3" t="s">
        <v>90</v>
      </c>
      <c r="C118" s="3" t="s">
        <v>146</v>
      </c>
      <c r="D118" s="3" t="s">
        <v>143</v>
      </c>
      <c r="E118" s="54">
        <v>45992.0</v>
      </c>
      <c r="F118" s="21">
        <v>2409300.0</v>
      </c>
      <c r="G118" s="3" t="s">
        <v>147</v>
      </c>
      <c r="H118" s="56">
        <v>602325.0</v>
      </c>
      <c r="I118" s="56">
        <v>0.0</v>
      </c>
      <c r="J118" s="56">
        <v>0.75</v>
      </c>
      <c r="K118" s="56">
        <v>0.0</v>
      </c>
      <c r="L118" s="56">
        <v>0.0</v>
      </c>
      <c r="M118" s="56">
        <v>0.0</v>
      </c>
      <c r="N118" s="56">
        <v>0.0</v>
      </c>
      <c r="O118" s="56">
        <v>0.0</v>
      </c>
      <c r="P118" s="56">
        <v>0.0</v>
      </c>
      <c r="Q118" s="56">
        <v>0.0</v>
      </c>
      <c r="R118" s="56">
        <v>0.0</v>
      </c>
    </row>
    <row r="119" ht="22.5" customHeight="1">
      <c r="A119" s="53">
        <v>45929.68697417824</v>
      </c>
      <c r="B119" s="3" t="s">
        <v>97</v>
      </c>
      <c r="C119" s="3" t="s">
        <v>146</v>
      </c>
      <c r="D119" s="3" t="s">
        <v>145</v>
      </c>
      <c r="E119" s="54">
        <v>45992.0</v>
      </c>
      <c r="F119" s="21">
        <v>167200.0</v>
      </c>
      <c r="G119" s="3" t="s">
        <v>147</v>
      </c>
      <c r="H119" s="56">
        <v>41800.0</v>
      </c>
      <c r="I119" s="56">
        <v>0.0</v>
      </c>
      <c r="J119" s="56">
        <v>0.75</v>
      </c>
      <c r="K119" s="56">
        <v>0.0</v>
      </c>
      <c r="L119" s="56">
        <v>0.0</v>
      </c>
      <c r="M119" s="56">
        <v>0.0</v>
      </c>
      <c r="N119" s="56">
        <v>0.0</v>
      </c>
      <c r="O119" s="56">
        <v>0.0</v>
      </c>
      <c r="P119" s="56">
        <v>0.0</v>
      </c>
      <c r="Q119" s="56">
        <v>0.0</v>
      </c>
      <c r="R119" s="56">
        <v>0.0</v>
      </c>
    </row>
    <row r="120" ht="22.5" customHeight="1">
      <c r="A120" s="53">
        <v>45929.68787818287</v>
      </c>
      <c r="B120" s="3" t="s">
        <v>97</v>
      </c>
      <c r="C120" s="3" t="s">
        <v>142</v>
      </c>
      <c r="D120" s="3" t="s">
        <v>143</v>
      </c>
      <c r="E120" s="54">
        <v>45876.0</v>
      </c>
      <c r="F120" s="21">
        <v>600000.0</v>
      </c>
      <c r="G120" s="3" t="s">
        <v>144</v>
      </c>
      <c r="H120" s="56">
        <v>150000.0</v>
      </c>
      <c r="I120" s="56">
        <v>0.27233368877860453</v>
      </c>
      <c r="J120" s="56">
        <v>0.56</v>
      </c>
      <c r="K120" s="56">
        <v>262.2508062852655</v>
      </c>
      <c r="L120" s="56">
        <v>4435.700425890737</v>
      </c>
      <c r="M120" s="56">
        <v>21.50680628526548</v>
      </c>
      <c r="N120" s="56">
        <v>363.7653250733269</v>
      </c>
      <c r="O120" s="56">
        <v>262.2508062852655</v>
      </c>
      <c r="P120" s="56">
        <v>4435.700425890737</v>
      </c>
      <c r="Q120" s="56">
        <v>4071.935100817411</v>
      </c>
      <c r="R120" s="56">
        <v>7.125151318900598</v>
      </c>
    </row>
    <row r="121" ht="22.5" customHeight="1">
      <c r="A121" s="53">
        <v>45929.68827756944</v>
      </c>
      <c r="B121" s="3" t="s">
        <v>97</v>
      </c>
      <c r="C121" s="3" t="s">
        <v>142</v>
      </c>
      <c r="D121" s="3" t="s">
        <v>143</v>
      </c>
      <c r="E121" s="54">
        <v>45962.0</v>
      </c>
      <c r="F121" s="21">
        <v>300000.0</v>
      </c>
      <c r="G121" s="3" t="s">
        <v>147</v>
      </c>
      <c r="H121" s="56">
        <v>75000.0</v>
      </c>
      <c r="I121" s="56">
        <v>0.03687852108524381</v>
      </c>
      <c r="J121" s="56">
        <v>0.56</v>
      </c>
      <c r="K121" s="56">
        <v>17.756565360291873</v>
      </c>
      <c r="L121" s="56">
        <v>300.3338889464785</v>
      </c>
      <c r="M121" s="56">
        <v>0.0</v>
      </c>
      <c r="N121" s="56">
        <v>0.0</v>
      </c>
      <c r="O121" s="56">
        <v>17.756565360291873</v>
      </c>
      <c r="P121" s="56">
        <v>300.3338889464785</v>
      </c>
      <c r="Q121" s="56">
        <v>300.3338889464785</v>
      </c>
      <c r="R121" s="56">
        <v>0.5255300862992569</v>
      </c>
    </row>
    <row r="122" ht="22.5" customHeight="1">
      <c r="A122" s="53">
        <v>45929.69003055556</v>
      </c>
      <c r="B122" s="3" t="s">
        <v>99</v>
      </c>
      <c r="C122" s="3" t="s">
        <v>142</v>
      </c>
      <c r="D122" s="3" t="s">
        <v>143</v>
      </c>
      <c r="E122" s="54">
        <v>45870.0</v>
      </c>
      <c r="F122" s="21">
        <v>110050.0</v>
      </c>
      <c r="G122" s="3" t="s">
        <v>144</v>
      </c>
      <c r="H122" s="56">
        <v>27512.5</v>
      </c>
      <c r="I122" s="56">
        <v>0.28876079350139716</v>
      </c>
      <c r="J122" s="56">
        <v>0.56</v>
      </c>
      <c r="K122" s="56">
        <v>3.9373097277462836</v>
      </c>
      <c r="L122" s="56">
        <v>462.66831517065583</v>
      </c>
      <c r="M122" s="56">
        <v>0.5285109777462831</v>
      </c>
      <c r="N122" s="56">
        <v>62.10466042330764</v>
      </c>
      <c r="O122" s="56">
        <v>3.937309727746283</v>
      </c>
      <c r="P122" s="56">
        <v>462.66831517065583</v>
      </c>
      <c r="Q122" s="56">
        <v>400.5636547473482</v>
      </c>
      <c r="R122" s="56">
        <v>1.5830293093655947</v>
      </c>
    </row>
    <row r="123" ht="22.5" customHeight="1">
      <c r="A123" s="53">
        <v>45929.6903247338</v>
      </c>
      <c r="B123" s="3" t="s">
        <v>99</v>
      </c>
      <c r="C123" s="3" t="s">
        <v>142</v>
      </c>
      <c r="D123" s="3" t="s">
        <v>145</v>
      </c>
      <c r="E123" s="54">
        <v>45992.0</v>
      </c>
      <c r="F123" s="21">
        <v>2000.0</v>
      </c>
      <c r="G123" s="3" t="s">
        <v>147</v>
      </c>
      <c r="H123" s="56">
        <v>500.0</v>
      </c>
      <c r="I123" s="56">
        <v>0.0</v>
      </c>
      <c r="J123" s="56">
        <v>0.56</v>
      </c>
      <c r="K123" s="56">
        <v>0.0</v>
      </c>
      <c r="L123" s="56">
        <v>0.0</v>
      </c>
      <c r="M123" s="56">
        <v>0.0</v>
      </c>
      <c r="N123" s="56">
        <v>0.0</v>
      </c>
      <c r="O123" s="56">
        <v>0.0</v>
      </c>
      <c r="P123" s="56">
        <v>0.0</v>
      </c>
      <c r="Q123" s="56">
        <v>0.0</v>
      </c>
      <c r="R123" s="56">
        <v>0.0</v>
      </c>
    </row>
    <row r="124" ht="22.5" customHeight="1">
      <c r="A124" s="53">
        <v>45929.69264512732</v>
      </c>
      <c r="B124" s="3" t="s">
        <v>101</v>
      </c>
      <c r="C124" s="3" t="s">
        <v>142</v>
      </c>
      <c r="D124" s="3" t="s">
        <v>143</v>
      </c>
      <c r="E124" s="54">
        <v>45826.0</v>
      </c>
      <c r="F124" s="21">
        <v>145500.0</v>
      </c>
      <c r="G124" s="3" t="s">
        <v>144</v>
      </c>
      <c r="H124" s="56">
        <v>36375.0</v>
      </c>
      <c r="I124" s="56">
        <v>0.4092262281352096</v>
      </c>
      <c r="J124" s="56">
        <v>0.56</v>
      </c>
      <c r="K124" s="56">
        <v>29.517557403851452</v>
      </c>
      <c r="L124" s="56">
        <v>1557.16056648883</v>
      </c>
      <c r="M124" s="56">
        <v>11.485014903851452</v>
      </c>
      <c r="N124" s="56">
        <v>605.8771079574651</v>
      </c>
      <c r="O124" s="56">
        <v>29.517557403851455</v>
      </c>
      <c r="P124" s="56">
        <v>1557.1605664888298</v>
      </c>
      <c r="Q124" s="56">
        <v>951.2834585313648</v>
      </c>
      <c r="R124" s="56">
        <v>3.282803701635764</v>
      </c>
    </row>
    <row r="125" ht="22.5" customHeight="1">
      <c r="A125" s="53">
        <v>45929.69292072917</v>
      </c>
      <c r="B125" s="3" t="s">
        <v>101</v>
      </c>
      <c r="C125" s="3" t="s">
        <v>142</v>
      </c>
      <c r="D125" s="3" t="s">
        <v>145</v>
      </c>
      <c r="E125" s="54">
        <v>45931.0</v>
      </c>
      <c r="F125" s="21">
        <v>5700.0</v>
      </c>
      <c r="G125" s="3" t="s">
        <v>148</v>
      </c>
      <c r="H125" s="56">
        <v>1425.0</v>
      </c>
      <c r="I125" s="56">
        <v>0.12175189548633894</v>
      </c>
      <c r="J125" s="56">
        <v>0.56</v>
      </c>
      <c r="K125" s="56">
        <v>0.3440365226098667</v>
      </c>
      <c r="L125" s="56">
        <v>18.14920181607325</v>
      </c>
      <c r="M125" s="56">
        <v>0.0</v>
      </c>
      <c r="N125" s="56">
        <v>0.0</v>
      </c>
      <c r="O125" s="56">
        <v>0.3440365226098667</v>
      </c>
      <c r="P125" s="56">
        <v>18.14920181607325</v>
      </c>
      <c r="Q125" s="56">
        <v>18.14920181607325</v>
      </c>
      <c r="R125" s="56">
        <v>0.06263145476693409</v>
      </c>
    </row>
    <row r="126" ht="22.5" customHeight="1">
      <c r="A126" s="53">
        <v>45929.70317262731</v>
      </c>
      <c r="B126" s="3" t="s">
        <v>116</v>
      </c>
      <c r="C126" s="3" t="s">
        <v>146</v>
      </c>
      <c r="D126" s="3" t="s">
        <v>143</v>
      </c>
      <c r="E126" s="54">
        <v>45874.0</v>
      </c>
      <c r="F126" s="21">
        <v>676900.0</v>
      </c>
      <c r="G126" s="3" t="s">
        <v>144</v>
      </c>
      <c r="H126" s="56">
        <v>169225.0</v>
      </c>
      <c r="I126" s="56">
        <v>0.27780939035286867</v>
      </c>
      <c r="J126" s="56">
        <v>0.75</v>
      </c>
      <c r="K126" s="56">
        <v>235.21426036808901</v>
      </c>
      <c r="L126" s="56">
        <v>8926.344142478341</v>
      </c>
      <c r="M126" s="56">
        <v>23.54551505558901</v>
      </c>
      <c r="N126" s="56">
        <v>893.5485887173131</v>
      </c>
      <c r="O126" s="56">
        <v>235.21426036808901</v>
      </c>
      <c r="P126" s="56">
        <v>8926.344142478343</v>
      </c>
      <c r="Q126" s="56">
        <v>8032.795553761029</v>
      </c>
      <c r="R126" s="56">
        <v>18.432626622846207</v>
      </c>
    </row>
    <row r="127" ht="22.5" customHeight="1">
      <c r="A127" s="53">
        <v>45929.704430046295</v>
      </c>
      <c r="B127" s="3" t="s">
        <v>116</v>
      </c>
      <c r="C127" s="3" t="s">
        <v>146</v>
      </c>
      <c r="D127" s="3" t="s">
        <v>143</v>
      </c>
      <c r="E127" s="54">
        <v>45992.0</v>
      </c>
      <c r="F127" s="21">
        <v>478100.0</v>
      </c>
      <c r="G127" s="3" t="s">
        <v>148</v>
      </c>
      <c r="H127" s="56">
        <v>119525.0</v>
      </c>
      <c r="I127" s="56">
        <v>0.0</v>
      </c>
      <c r="J127" s="56">
        <v>0.75</v>
      </c>
      <c r="K127" s="56">
        <v>0.0</v>
      </c>
      <c r="L127" s="56">
        <v>0.0</v>
      </c>
      <c r="M127" s="56">
        <v>0.0</v>
      </c>
      <c r="N127" s="56">
        <v>0.0</v>
      </c>
      <c r="O127" s="56">
        <v>0.0</v>
      </c>
      <c r="P127" s="56">
        <v>0.0</v>
      </c>
      <c r="Q127" s="56">
        <v>0.0</v>
      </c>
      <c r="R127" s="56">
        <v>0.0</v>
      </c>
    </row>
    <row r="128" ht="22.5" customHeight="1">
      <c r="A128" s="53">
        <v>45929.705375509264</v>
      </c>
      <c r="B128" s="3" t="s">
        <v>117</v>
      </c>
      <c r="C128" s="3" t="s">
        <v>146</v>
      </c>
      <c r="D128" s="3" t="s">
        <v>143</v>
      </c>
      <c r="E128" s="54">
        <v>45931.0</v>
      </c>
      <c r="F128" s="21">
        <v>591600.0</v>
      </c>
      <c r="G128" s="3" t="s">
        <v>148</v>
      </c>
      <c r="H128" s="56">
        <v>147900.0</v>
      </c>
      <c r="I128" s="56">
        <v>0.12175189548633894</v>
      </c>
      <c r="J128" s="56">
        <v>0.75</v>
      </c>
      <c r="K128" s="56">
        <v>107.69149350039982</v>
      </c>
      <c r="L128" s="56">
        <v>919.2665313580238</v>
      </c>
      <c r="M128" s="56">
        <v>0.0</v>
      </c>
      <c r="N128" s="56">
        <v>0.0</v>
      </c>
      <c r="O128" s="56">
        <v>107.69149350039982</v>
      </c>
      <c r="P128" s="56">
        <v>919.2665313580238</v>
      </c>
      <c r="Q128" s="56">
        <v>919.2665313580238</v>
      </c>
      <c r="R128" s="56">
        <v>2.151988198507713</v>
      </c>
    </row>
    <row r="129" ht="22.5" customHeight="1">
      <c r="A129" s="53">
        <v>45929.70628615741</v>
      </c>
      <c r="B129" s="3" t="s">
        <v>117</v>
      </c>
      <c r="C129" s="3" t="s">
        <v>146</v>
      </c>
      <c r="D129" s="3" t="s">
        <v>145</v>
      </c>
      <c r="E129" s="54">
        <v>45992.0</v>
      </c>
      <c r="F129" s="21">
        <v>58000.0</v>
      </c>
      <c r="G129" s="3" t="s">
        <v>147</v>
      </c>
      <c r="H129" s="56">
        <v>14500.0</v>
      </c>
      <c r="I129" s="56">
        <v>0.0</v>
      </c>
      <c r="J129" s="56">
        <v>0.75</v>
      </c>
      <c r="K129" s="56">
        <v>0.0</v>
      </c>
      <c r="L129" s="56">
        <v>0.0</v>
      </c>
      <c r="M129" s="56">
        <v>0.0</v>
      </c>
      <c r="N129" s="56">
        <v>0.0</v>
      </c>
      <c r="O129" s="56">
        <v>0.0</v>
      </c>
      <c r="P129" s="56">
        <v>0.0</v>
      </c>
      <c r="Q129" s="56">
        <v>0.0</v>
      </c>
      <c r="R129" s="56">
        <v>0.0</v>
      </c>
    </row>
    <row r="130" ht="22.5" customHeight="1">
      <c r="A130" s="53">
        <v>45929.70876333333</v>
      </c>
      <c r="B130" s="3" t="s">
        <v>121</v>
      </c>
      <c r="C130" s="3" t="s">
        <v>146</v>
      </c>
      <c r="D130" s="3" t="s">
        <v>143</v>
      </c>
      <c r="E130" s="54">
        <v>45859.0</v>
      </c>
      <c r="F130" s="21">
        <v>399900.0</v>
      </c>
      <c r="G130" s="3" t="s">
        <v>144</v>
      </c>
      <c r="H130" s="56">
        <v>99975.0</v>
      </c>
      <c r="I130" s="56">
        <v>0.31887715215985024</v>
      </c>
      <c r="J130" s="56">
        <v>0.75</v>
      </c>
      <c r="K130" s="56">
        <v>203.8311086424137</v>
      </c>
      <c r="L130" s="56">
        <v>4225.871780540429</v>
      </c>
      <c r="M130" s="56">
        <v>44.0273195799137</v>
      </c>
      <c r="N130" s="56">
        <v>912.7841604982463</v>
      </c>
      <c r="O130" s="56">
        <v>203.8311086424137</v>
      </c>
      <c r="P130" s="56">
        <v>4225.871780540429</v>
      </c>
      <c r="Q130" s="56">
        <v>3313.0876200421835</v>
      </c>
      <c r="R130" s="56">
        <v>7.7110624855089265</v>
      </c>
    </row>
    <row r="131" ht="22.5" customHeight="1">
      <c r="A131" s="53">
        <v>45929.70902998843</v>
      </c>
      <c r="B131" s="3" t="s">
        <v>121</v>
      </c>
      <c r="C131" s="3" t="s">
        <v>146</v>
      </c>
      <c r="D131" s="3" t="s">
        <v>145</v>
      </c>
      <c r="E131" s="54">
        <v>45897.0</v>
      </c>
      <c r="F131" s="21">
        <v>132300.0</v>
      </c>
      <c r="G131" s="3" t="s">
        <v>144</v>
      </c>
      <c r="H131" s="56">
        <v>33075.0</v>
      </c>
      <c r="I131" s="56">
        <v>0.2148388222488304</v>
      </c>
      <c r="J131" s="56">
        <v>0.75</v>
      </c>
      <c r="K131" s="56">
        <v>45.43267068084566</v>
      </c>
      <c r="L131" s="56">
        <v>941.9202114118409</v>
      </c>
      <c r="M131" s="56">
        <v>0.0</v>
      </c>
      <c r="N131" s="56">
        <v>0.0</v>
      </c>
      <c r="O131" s="56">
        <v>45.43267068084566</v>
      </c>
      <c r="P131" s="56">
        <v>941.920211411841</v>
      </c>
      <c r="Q131" s="56">
        <v>941.920211411841</v>
      </c>
      <c r="R131" s="56">
        <v>2.1922769451138175</v>
      </c>
    </row>
    <row r="132">
      <c r="F132" s="40"/>
      <c r="H132" s="40"/>
      <c r="I132" s="57"/>
      <c r="J132" s="43"/>
      <c r="K132" s="40"/>
      <c r="L132" s="40"/>
      <c r="M132" s="41"/>
      <c r="N132" s="41"/>
      <c r="O132" s="41" t="s">
        <v>78</v>
      </c>
      <c r="P132" s="41" t="s">
        <v>78</v>
      </c>
      <c r="Q132" s="41"/>
      <c r="R132" s="41"/>
    </row>
    <row r="133">
      <c r="F133" s="40"/>
      <c r="H133" s="40"/>
      <c r="I133" s="57"/>
      <c r="J133" s="43"/>
      <c r="K133" s="40"/>
      <c r="L133" s="40"/>
      <c r="M133" s="41"/>
      <c r="N133" s="41"/>
      <c r="O133" s="41" t="s">
        <v>78</v>
      </c>
      <c r="P133" s="41" t="s">
        <v>78</v>
      </c>
      <c r="Q133" s="41"/>
      <c r="R133" s="41"/>
    </row>
    <row r="134">
      <c r="F134" s="40"/>
      <c r="H134" s="40"/>
      <c r="I134" s="57"/>
      <c r="J134" s="43"/>
      <c r="K134" s="40"/>
      <c r="L134" s="40"/>
      <c r="M134" s="41"/>
      <c r="N134" s="41"/>
      <c r="O134" s="41" t="s">
        <v>78</v>
      </c>
      <c r="P134" s="41" t="s">
        <v>78</v>
      </c>
      <c r="Q134" s="41"/>
      <c r="R134" s="41"/>
    </row>
    <row r="135">
      <c r="F135" s="40"/>
      <c r="H135" s="40"/>
      <c r="I135" s="57"/>
      <c r="J135" s="43"/>
      <c r="K135" s="40"/>
      <c r="L135" s="40"/>
      <c r="M135" s="41"/>
      <c r="N135" s="41"/>
      <c r="O135" s="41" t="s">
        <v>78</v>
      </c>
      <c r="P135" s="41" t="s">
        <v>78</v>
      </c>
      <c r="Q135" s="41"/>
      <c r="R135" s="41"/>
    </row>
    <row r="136">
      <c r="F136" s="40"/>
      <c r="H136" s="40"/>
      <c r="I136" s="57"/>
      <c r="J136" s="43"/>
      <c r="K136" s="40"/>
      <c r="L136" s="40"/>
      <c r="M136" s="41"/>
      <c r="N136" s="41"/>
      <c r="O136" s="41" t="s">
        <v>78</v>
      </c>
      <c r="P136" s="41" t="s">
        <v>78</v>
      </c>
      <c r="Q136" s="41"/>
      <c r="R136" s="41"/>
    </row>
    <row r="137">
      <c r="F137" s="40"/>
      <c r="H137" s="40"/>
      <c r="I137" s="57"/>
      <c r="J137" s="43"/>
      <c r="K137" s="40"/>
      <c r="L137" s="40"/>
      <c r="M137" s="41"/>
      <c r="N137" s="41"/>
      <c r="O137" s="41" t="s">
        <v>78</v>
      </c>
      <c r="P137" s="41" t="s">
        <v>78</v>
      </c>
      <c r="Q137" s="41"/>
      <c r="R137" s="41"/>
    </row>
    <row r="138">
      <c r="F138" s="40"/>
      <c r="H138" s="40"/>
      <c r="I138" s="57"/>
      <c r="J138" s="43"/>
      <c r="K138" s="40"/>
      <c r="L138" s="40"/>
      <c r="M138" s="41"/>
      <c r="N138" s="41"/>
      <c r="O138" s="41" t="s">
        <v>78</v>
      </c>
      <c r="P138" s="41" t="s">
        <v>78</v>
      </c>
      <c r="Q138" s="41"/>
      <c r="R138" s="41"/>
    </row>
    <row r="139">
      <c r="F139" s="40"/>
      <c r="H139" s="40"/>
      <c r="I139" s="57"/>
      <c r="J139" s="43"/>
      <c r="K139" s="40"/>
      <c r="L139" s="40"/>
      <c r="M139" s="41"/>
      <c r="N139" s="41"/>
      <c r="O139" s="41" t="s">
        <v>78</v>
      </c>
      <c r="P139" s="41" t="s">
        <v>78</v>
      </c>
      <c r="Q139" s="41"/>
      <c r="R139" s="41"/>
    </row>
    <row r="140">
      <c r="F140" s="40"/>
      <c r="H140" s="40"/>
      <c r="I140" s="57"/>
      <c r="J140" s="43"/>
      <c r="K140" s="40"/>
      <c r="L140" s="40"/>
      <c r="M140" s="41"/>
      <c r="N140" s="41"/>
      <c r="O140" s="41" t="s">
        <v>78</v>
      </c>
      <c r="P140" s="41" t="s">
        <v>78</v>
      </c>
      <c r="Q140" s="41"/>
      <c r="R140" s="41"/>
    </row>
    <row r="141">
      <c r="F141" s="40"/>
      <c r="H141" s="40"/>
      <c r="I141" s="57"/>
      <c r="J141" s="43"/>
      <c r="K141" s="40"/>
      <c r="L141" s="40"/>
      <c r="M141" s="41"/>
      <c r="N141" s="41"/>
      <c r="O141" s="41" t="s">
        <v>78</v>
      </c>
      <c r="P141" s="41" t="s">
        <v>78</v>
      </c>
      <c r="Q141" s="41"/>
      <c r="R141" s="41"/>
    </row>
    <row r="142">
      <c r="F142" s="40"/>
      <c r="H142" s="40"/>
      <c r="I142" s="57"/>
      <c r="J142" s="43"/>
      <c r="K142" s="40"/>
      <c r="L142" s="40"/>
      <c r="M142" s="41"/>
      <c r="N142" s="41"/>
      <c r="O142" s="41" t="s">
        <v>78</v>
      </c>
      <c r="P142" s="41" t="s">
        <v>78</v>
      </c>
      <c r="Q142" s="41"/>
      <c r="R142" s="41"/>
    </row>
    <row r="143">
      <c r="F143" s="40"/>
      <c r="H143" s="40"/>
      <c r="I143" s="57"/>
      <c r="J143" s="43"/>
      <c r="K143" s="40"/>
      <c r="L143" s="40"/>
      <c r="M143" s="41"/>
      <c r="N143" s="41"/>
      <c r="O143" s="41" t="s">
        <v>78</v>
      </c>
      <c r="P143" s="41" t="s">
        <v>78</v>
      </c>
      <c r="Q143" s="41"/>
      <c r="R143" s="41"/>
    </row>
    <row r="144">
      <c r="F144" s="40"/>
      <c r="H144" s="40"/>
      <c r="I144" s="57"/>
      <c r="J144" s="43"/>
      <c r="K144" s="40"/>
      <c r="L144" s="40"/>
      <c r="M144" s="41"/>
      <c r="N144" s="41"/>
      <c r="O144" s="41" t="s">
        <v>78</v>
      </c>
      <c r="P144" s="41" t="s">
        <v>78</v>
      </c>
      <c r="Q144" s="41"/>
      <c r="R144" s="41"/>
    </row>
    <row r="145">
      <c r="F145" s="40"/>
      <c r="H145" s="40"/>
      <c r="I145" s="57"/>
      <c r="J145" s="43"/>
      <c r="K145" s="40"/>
      <c r="L145" s="40"/>
      <c r="M145" s="41"/>
      <c r="N145" s="41"/>
      <c r="O145" s="41" t="s">
        <v>78</v>
      </c>
      <c r="P145" s="41" t="s">
        <v>78</v>
      </c>
      <c r="Q145" s="41"/>
      <c r="R145" s="41"/>
    </row>
    <row r="146">
      <c r="F146" s="40"/>
      <c r="H146" s="40"/>
      <c r="I146" s="57"/>
      <c r="J146" s="43"/>
      <c r="K146" s="40"/>
      <c r="L146" s="40"/>
      <c r="M146" s="41"/>
      <c r="N146" s="41"/>
      <c r="O146" s="41" t="s">
        <v>78</v>
      </c>
      <c r="P146" s="41" t="s">
        <v>78</v>
      </c>
      <c r="Q146" s="41"/>
      <c r="R146" s="41"/>
    </row>
    <row r="147">
      <c r="F147" s="40"/>
      <c r="H147" s="40"/>
      <c r="I147" s="57"/>
      <c r="J147" s="43"/>
      <c r="K147" s="40"/>
      <c r="L147" s="40"/>
      <c r="M147" s="41"/>
      <c r="N147" s="41"/>
      <c r="O147" s="41" t="s">
        <v>78</v>
      </c>
      <c r="P147" s="41" t="s">
        <v>78</v>
      </c>
      <c r="Q147" s="41"/>
      <c r="R147" s="41"/>
    </row>
    <row r="148">
      <c r="F148" s="40"/>
      <c r="H148" s="40"/>
      <c r="I148" s="57"/>
      <c r="J148" s="43"/>
      <c r="K148" s="40"/>
      <c r="L148" s="40"/>
      <c r="M148" s="41"/>
      <c r="N148" s="41"/>
      <c r="O148" s="41" t="s">
        <v>78</v>
      </c>
      <c r="P148" s="41" t="s">
        <v>78</v>
      </c>
      <c r="Q148" s="41"/>
      <c r="R148" s="41"/>
    </row>
    <row r="149">
      <c r="F149" s="40"/>
      <c r="H149" s="40"/>
      <c r="I149" s="57"/>
      <c r="J149" s="43"/>
      <c r="K149" s="40"/>
      <c r="L149" s="40"/>
      <c r="M149" s="41"/>
      <c r="N149" s="41"/>
      <c r="O149" s="41" t="s">
        <v>78</v>
      </c>
      <c r="P149" s="41" t="s">
        <v>78</v>
      </c>
      <c r="Q149" s="41"/>
      <c r="R149" s="41"/>
    </row>
    <row r="150">
      <c r="F150" s="40"/>
      <c r="H150" s="40"/>
      <c r="I150" s="57"/>
      <c r="J150" s="43"/>
      <c r="K150" s="40"/>
      <c r="L150" s="40"/>
      <c r="M150" s="41"/>
      <c r="N150" s="41"/>
      <c r="O150" s="41" t="s">
        <v>78</v>
      </c>
      <c r="P150" s="41" t="s">
        <v>78</v>
      </c>
      <c r="Q150" s="41"/>
      <c r="R150" s="41"/>
    </row>
    <row r="151">
      <c r="F151" s="40"/>
      <c r="H151" s="40"/>
      <c r="I151" s="57"/>
      <c r="J151" s="43"/>
      <c r="K151" s="40"/>
      <c r="L151" s="40"/>
      <c r="M151" s="41"/>
      <c r="N151" s="41"/>
      <c r="O151" s="41" t="s">
        <v>78</v>
      </c>
      <c r="P151" s="41" t="s">
        <v>78</v>
      </c>
      <c r="Q151" s="41"/>
      <c r="R151" s="41"/>
    </row>
    <row r="152">
      <c r="F152" s="40"/>
      <c r="H152" s="40"/>
      <c r="I152" s="57"/>
      <c r="J152" s="43"/>
      <c r="K152" s="40"/>
      <c r="L152" s="40"/>
      <c r="M152" s="41"/>
      <c r="N152" s="41"/>
      <c r="O152" s="41" t="s">
        <v>78</v>
      </c>
      <c r="P152" s="41" t="s">
        <v>78</v>
      </c>
      <c r="Q152" s="41"/>
      <c r="R152" s="41"/>
    </row>
    <row r="153">
      <c r="F153" s="40"/>
      <c r="H153" s="40"/>
      <c r="I153" s="57"/>
      <c r="J153" s="43"/>
      <c r="K153" s="40"/>
      <c r="L153" s="40"/>
      <c r="M153" s="41"/>
      <c r="N153" s="41"/>
      <c r="O153" s="41" t="s">
        <v>78</v>
      </c>
      <c r="P153" s="41" t="s">
        <v>78</v>
      </c>
      <c r="Q153" s="41"/>
      <c r="R153" s="41"/>
    </row>
    <row r="154">
      <c r="F154" s="40"/>
      <c r="H154" s="40"/>
      <c r="I154" s="57"/>
      <c r="J154" s="43"/>
      <c r="K154" s="40"/>
      <c r="L154" s="40"/>
      <c r="M154" s="41"/>
      <c r="N154" s="41"/>
      <c r="O154" s="41" t="s">
        <v>78</v>
      </c>
      <c r="P154" s="41" t="s">
        <v>78</v>
      </c>
      <c r="Q154" s="41"/>
      <c r="R154" s="41"/>
    </row>
    <row r="155">
      <c r="F155" s="40"/>
      <c r="H155" s="40"/>
      <c r="I155" s="57"/>
      <c r="J155" s="43"/>
      <c r="K155" s="40"/>
      <c r="L155" s="40"/>
      <c r="M155" s="41"/>
      <c r="N155" s="41"/>
      <c r="O155" s="41" t="s">
        <v>78</v>
      </c>
      <c r="P155" s="41" t="s">
        <v>78</v>
      </c>
      <c r="Q155" s="41"/>
      <c r="R155" s="41"/>
    </row>
    <row r="156">
      <c r="F156" s="40"/>
      <c r="H156" s="40"/>
      <c r="I156" s="57"/>
      <c r="J156" s="43"/>
      <c r="K156" s="40"/>
      <c r="L156" s="40"/>
      <c r="M156" s="41"/>
      <c r="N156" s="41"/>
      <c r="O156" s="41" t="s">
        <v>78</v>
      </c>
      <c r="P156" s="41" t="s">
        <v>78</v>
      </c>
      <c r="Q156" s="41"/>
      <c r="R156" s="41"/>
    </row>
    <row r="157">
      <c r="F157" s="40"/>
      <c r="H157" s="40"/>
      <c r="I157" s="57"/>
      <c r="J157" s="43"/>
      <c r="K157" s="40"/>
      <c r="L157" s="40"/>
      <c r="M157" s="41"/>
      <c r="N157" s="41"/>
      <c r="O157" s="41" t="s">
        <v>78</v>
      </c>
      <c r="P157" s="41" t="s">
        <v>78</v>
      </c>
      <c r="Q157" s="41"/>
      <c r="R157" s="41"/>
    </row>
    <row r="158">
      <c r="F158" s="40"/>
      <c r="H158" s="40"/>
      <c r="I158" s="57"/>
      <c r="J158" s="43"/>
      <c r="K158" s="40"/>
      <c r="L158" s="40"/>
      <c r="M158" s="41"/>
      <c r="N158" s="41"/>
      <c r="O158" s="41" t="s">
        <v>78</v>
      </c>
      <c r="P158" s="41" t="s">
        <v>78</v>
      </c>
      <c r="Q158" s="41"/>
      <c r="R158" s="41"/>
    </row>
    <row r="159">
      <c r="F159" s="40"/>
      <c r="H159" s="40"/>
      <c r="I159" s="57"/>
      <c r="J159" s="43"/>
      <c r="K159" s="40"/>
      <c r="L159" s="40"/>
      <c r="M159" s="41"/>
      <c r="N159" s="41"/>
      <c r="O159" s="41" t="s">
        <v>78</v>
      </c>
      <c r="P159" s="41" t="s">
        <v>78</v>
      </c>
      <c r="Q159" s="41"/>
      <c r="R159" s="41"/>
    </row>
    <row r="160">
      <c r="F160" s="40"/>
      <c r="H160" s="40"/>
      <c r="I160" s="57"/>
      <c r="J160" s="43"/>
      <c r="K160" s="40"/>
      <c r="L160" s="40"/>
      <c r="M160" s="41"/>
      <c r="N160" s="41"/>
      <c r="O160" s="41" t="s">
        <v>78</v>
      </c>
      <c r="P160" s="41" t="s">
        <v>78</v>
      </c>
      <c r="Q160" s="41"/>
      <c r="R160" s="41"/>
    </row>
    <row r="161">
      <c r="F161" s="40"/>
      <c r="H161" s="40"/>
      <c r="I161" s="57"/>
      <c r="J161" s="43"/>
      <c r="K161" s="40"/>
      <c r="L161" s="40"/>
      <c r="M161" s="41"/>
      <c r="N161" s="41"/>
      <c r="O161" s="41" t="s">
        <v>78</v>
      </c>
      <c r="P161" s="41" t="s">
        <v>78</v>
      </c>
      <c r="Q161" s="41"/>
      <c r="R161" s="41"/>
    </row>
    <row r="162">
      <c r="F162" s="40"/>
      <c r="H162" s="40"/>
      <c r="I162" s="57"/>
      <c r="J162" s="43"/>
      <c r="K162" s="40"/>
      <c r="L162" s="40"/>
      <c r="M162" s="41"/>
      <c r="N162" s="41"/>
      <c r="O162" s="41" t="s">
        <v>78</v>
      </c>
      <c r="P162" s="41" t="s">
        <v>78</v>
      </c>
      <c r="Q162" s="41"/>
      <c r="R162" s="41"/>
    </row>
    <row r="163">
      <c r="F163" s="40"/>
      <c r="H163" s="40"/>
      <c r="I163" s="57"/>
      <c r="J163" s="43"/>
      <c r="K163" s="40"/>
      <c r="L163" s="40"/>
      <c r="M163" s="41"/>
      <c r="N163" s="41"/>
      <c r="O163" s="41" t="s">
        <v>78</v>
      </c>
      <c r="P163" s="41" t="s">
        <v>78</v>
      </c>
      <c r="Q163" s="41"/>
      <c r="R163" s="41"/>
    </row>
    <row r="164">
      <c r="F164" s="40"/>
      <c r="H164" s="40"/>
      <c r="I164" s="57"/>
      <c r="J164" s="43"/>
      <c r="K164" s="40"/>
      <c r="L164" s="40"/>
      <c r="M164" s="41"/>
      <c r="N164" s="41"/>
      <c r="O164" s="41" t="s">
        <v>78</v>
      </c>
      <c r="P164" s="41" t="s">
        <v>78</v>
      </c>
      <c r="Q164" s="41"/>
      <c r="R164" s="41"/>
    </row>
    <row r="165">
      <c r="F165" s="40"/>
      <c r="H165" s="40"/>
      <c r="I165" s="57"/>
      <c r="J165" s="43"/>
      <c r="K165" s="40"/>
      <c r="L165" s="40"/>
      <c r="M165" s="41"/>
      <c r="N165" s="41"/>
      <c r="O165" s="41" t="s">
        <v>78</v>
      </c>
      <c r="P165" s="41" t="s">
        <v>78</v>
      </c>
      <c r="Q165" s="41"/>
      <c r="R165" s="41"/>
    </row>
    <row r="166">
      <c r="F166" s="40"/>
      <c r="H166" s="40"/>
      <c r="I166" s="57"/>
      <c r="J166" s="43"/>
      <c r="K166" s="40"/>
      <c r="L166" s="40"/>
      <c r="M166" s="41"/>
      <c r="N166" s="41"/>
      <c r="O166" s="41" t="s">
        <v>78</v>
      </c>
      <c r="P166" s="41" t="s">
        <v>78</v>
      </c>
      <c r="Q166" s="41"/>
      <c r="R166" s="41"/>
    </row>
    <row r="167">
      <c r="F167" s="40"/>
      <c r="H167" s="40"/>
      <c r="I167" s="57"/>
      <c r="J167" s="43"/>
      <c r="K167" s="40"/>
      <c r="L167" s="40"/>
      <c r="M167" s="41"/>
      <c r="N167" s="41"/>
      <c r="O167" s="41" t="s">
        <v>78</v>
      </c>
      <c r="P167" s="41" t="s">
        <v>78</v>
      </c>
      <c r="Q167" s="41"/>
      <c r="R167" s="41"/>
    </row>
    <row r="168">
      <c r="F168" s="40"/>
      <c r="H168" s="40"/>
      <c r="I168" s="57"/>
      <c r="J168" s="43"/>
      <c r="K168" s="40"/>
      <c r="L168" s="40"/>
      <c r="M168" s="41"/>
      <c r="N168" s="41"/>
      <c r="O168" s="41" t="s">
        <v>78</v>
      </c>
      <c r="P168" s="41" t="s">
        <v>78</v>
      </c>
      <c r="Q168" s="41"/>
      <c r="R168" s="41"/>
    </row>
    <row r="169">
      <c r="F169" s="40"/>
      <c r="H169" s="40"/>
      <c r="I169" s="57"/>
      <c r="J169" s="43"/>
      <c r="K169" s="40"/>
      <c r="L169" s="40"/>
      <c r="M169" s="41"/>
      <c r="N169" s="41"/>
      <c r="O169" s="41" t="s">
        <v>78</v>
      </c>
      <c r="P169" s="41" t="s">
        <v>78</v>
      </c>
      <c r="Q169" s="41"/>
      <c r="R169" s="41"/>
    </row>
    <row r="170">
      <c r="F170" s="40"/>
      <c r="H170" s="40"/>
      <c r="I170" s="57"/>
      <c r="J170" s="43"/>
      <c r="K170" s="40"/>
      <c r="L170" s="40"/>
      <c r="M170" s="41"/>
      <c r="N170" s="41"/>
      <c r="O170" s="41" t="s">
        <v>78</v>
      </c>
      <c r="P170" s="41" t="s">
        <v>78</v>
      </c>
      <c r="Q170" s="41"/>
      <c r="R170" s="41"/>
    </row>
    <row r="171">
      <c r="F171" s="40"/>
      <c r="H171" s="40"/>
      <c r="I171" s="57"/>
      <c r="J171" s="43"/>
      <c r="K171" s="40"/>
      <c r="L171" s="40"/>
      <c r="M171" s="41"/>
      <c r="N171" s="41"/>
      <c r="O171" s="41" t="s">
        <v>78</v>
      </c>
      <c r="P171" s="41" t="s">
        <v>78</v>
      </c>
      <c r="Q171" s="41"/>
      <c r="R171" s="41"/>
    </row>
    <row r="172">
      <c r="F172" s="40"/>
      <c r="H172" s="40"/>
      <c r="I172" s="57"/>
      <c r="J172" s="43"/>
      <c r="K172" s="40"/>
      <c r="L172" s="40"/>
      <c r="M172" s="41"/>
      <c r="N172" s="41"/>
      <c r="O172" s="41" t="s">
        <v>78</v>
      </c>
      <c r="P172" s="41" t="s">
        <v>78</v>
      </c>
      <c r="Q172" s="41"/>
      <c r="R172" s="41"/>
    </row>
    <row r="173">
      <c r="F173" s="40"/>
      <c r="H173" s="40"/>
      <c r="I173" s="57"/>
      <c r="J173" s="43"/>
      <c r="K173" s="40"/>
      <c r="L173" s="40"/>
      <c r="M173" s="41"/>
      <c r="N173" s="41"/>
      <c r="O173" s="41" t="s">
        <v>78</v>
      </c>
      <c r="P173" s="41" t="s">
        <v>78</v>
      </c>
      <c r="Q173" s="41"/>
      <c r="R173" s="41"/>
    </row>
    <row r="174">
      <c r="F174" s="40"/>
      <c r="H174" s="40"/>
      <c r="I174" s="57"/>
      <c r="J174" s="43"/>
      <c r="K174" s="40"/>
      <c r="L174" s="40"/>
      <c r="M174" s="41"/>
      <c r="N174" s="41"/>
      <c r="O174" s="41" t="s">
        <v>78</v>
      </c>
      <c r="P174" s="41" t="s">
        <v>78</v>
      </c>
      <c r="Q174" s="41"/>
      <c r="R174" s="41"/>
    </row>
    <row r="175">
      <c r="F175" s="40"/>
      <c r="H175" s="40"/>
      <c r="I175" s="57"/>
      <c r="J175" s="43"/>
      <c r="K175" s="40"/>
      <c r="L175" s="40"/>
      <c r="M175" s="41"/>
      <c r="N175" s="41"/>
      <c r="O175" s="41" t="s">
        <v>78</v>
      </c>
      <c r="P175" s="41" t="s">
        <v>78</v>
      </c>
      <c r="Q175" s="41"/>
      <c r="R175" s="41"/>
    </row>
    <row r="176">
      <c r="F176" s="40"/>
      <c r="H176" s="40"/>
      <c r="I176" s="57"/>
      <c r="J176" s="43"/>
      <c r="K176" s="40"/>
      <c r="L176" s="40"/>
      <c r="M176" s="41"/>
      <c r="N176" s="41"/>
      <c r="O176" s="41" t="s">
        <v>78</v>
      </c>
      <c r="P176" s="41" t="s">
        <v>78</v>
      </c>
      <c r="Q176" s="41"/>
      <c r="R176" s="41"/>
    </row>
    <row r="177">
      <c r="F177" s="40"/>
      <c r="H177" s="40"/>
      <c r="I177" s="57"/>
      <c r="J177" s="43"/>
      <c r="K177" s="40"/>
      <c r="L177" s="40"/>
      <c r="M177" s="41"/>
      <c r="N177" s="41"/>
      <c r="O177" s="41" t="s">
        <v>78</v>
      </c>
      <c r="P177" s="41" t="s">
        <v>78</v>
      </c>
      <c r="Q177" s="41"/>
      <c r="R177" s="41"/>
    </row>
    <row r="178">
      <c r="F178" s="40"/>
      <c r="H178" s="40"/>
      <c r="I178" s="57"/>
      <c r="J178" s="43"/>
      <c r="K178" s="40"/>
      <c r="L178" s="40"/>
      <c r="M178" s="41"/>
      <c r="N178" s="41"/>
      <c r="O178" s="41" t="s">
        <v>78</v>
      </c>
      <c r="P178" s="41" t="s">
        <v>78</v>
      </c>
      <c r="Q178" s="41"/>
      <c r="R178" s="41"/>
    </row>
    <row r="179">
      <c r="F179" s="40"/>
      <c r="H179" s="40"/>
      <c r="I179" s="57"/>
      <c r="J179" s="43"/>
      <c r="K179" s="40"/>
      <c r="L179" s="40"/>
      <c r="M179" s="41"/>
      <c r="N179" s="41"/>
      <c r="O179" s="41" t="s">
        <v>78</v>
      </c>
      <c r="P179" s="41" t="s">
        <v>78</v>
      </c>
      <c r="Q179" s="41"/>
      <c r="R179" s="41"/>
    </row>
    <row r="180">
      <c r="F180" s="40"/>
      <c r="H180" s="40"/>
      <c r="I180" s="57"/>
      <c r="J180" s="43"/>
      <c r="K180" s="40"/>
      <c r="L180" s="40"/>
      <c r="M180" s="41"/>
      <c r="N180" s="41"/>
      <c r="O180" s="41" t="s">
        <v>78</v>
      </c>
      <c r="P180" s="41" t="s">
        <v>78</v>
      </c>
      <c r="Q180" s="41"/>
      <c r="R180" s="41"/>
    </row>
    <row r="181">
      <c r="F181" s="40"/>
      <c r="H181" s="40"/>
      <c r="I181" s="57"/>
      <c r="J181" s="43"/>
      <c r="K181" s="40"/>
      <c r="L181" s="40"/>
      <c r="M181" s="41"/>
      <c r="N181" s="41"/>
      <c r="O181" s="41" t="s">
        <v>78</v>
      </c>
      <c r="P181" s="41" t="s">
        <v>78</v>
      </c>
      <c r="Q181" s="41"/>
      <c r="R181" s="41"/>
    </row>
    <row r="182">
      <c r="F182" s="40"/>
      <c r="H182" s="40"/>
      <c r="I182" s="57"/>
      <c r="J182" s="43"/>
      <c r="K182" s="40"/>
      <c r="L182" s="40"/>
      <c r="M182" s="41"/>
      <c r="N182" s="41"/>
      <c r="O182" s="41" t="s">
        <v>78</v>
      </c>
      <c r="P182" s="41" t="s">
        <v>78</v>
      </c>
      <c r="Q182" s="41"/>
      <c r="R182" s="41"/>
    </row>
    <row r="183">
      <c r="F183" s="40"/>
      <c r="H183" s="40"/>
      <c r="I183" s="57"/>
      <c r="J183" s="43"/>
      <c r="K183" s="40"/>
      <c r="L183" s="40"/>
      <c r="M183" s="41"/>
      <c r="N183" s="41"/>
      <c r="O183" s="41" t="s">
        <v>78</v>
      </c>
      <c r="P183" s="41" t="s">
        <v>78</v>
      </c>
      <c r="Q183" s="41"/>
      <c r="R183" s="41"/>
    </row>
    <row r="184">
      <c r="F184" s="40"/>
      <c r="H184" s="40"/>
      <c r="I184" s="57"/>
      <c r="J184" s="43"/>
      <c r="K184" s="40"/>
      <c r="L184" s="40"/>
      <c r="M184" s="41"/>
      <c r="N184" s="41"/>
      <c r="O184" s="41" t="s">
        <v>78</v>
      </c>
      <c r="P184" s="41" t="s">
        <v>78</v>
      </c>
      <c r="Q184" s="41"/>
      <c r="R184" s="41"/>
    </row>
    <row r="185">
      <c r="F185" s="40"/>
      <c r="H185" s="40"/>
      <c r="I185" s="57"/>
      <c r="J185" s="43"/>
      <c r="K185" s="40"/>
      <c r="L185" s="40"/>
      <c r="M185" s="41"/>
      <c r="N185" s="41"/>
      <c r="O185" s="41" t="s">
        <v>78</v>
      </c>
      <c r="P185" s="41" t="s">
        <v>78</v>
      </c>
      <c r="Q185" s="41"/>
      <c r="R185" s="41"/>
    </row>
    <row r="186">
      <c r="F186" s="40"/>
      <c r="H186" s="40"/>
      <c r="I186" s="57"/>
      <c r="J186" s="43"/>
      <c r="K186" s="40"/>
      <c r="L186" s="40"/>
      <c r="M186" s="41"/>
      <c r="N186" s="41"/>
      <c r="O186" s="41" t="s">
        <v>78</v>
      </c>
      <c r="P186" s="41" t="s">
        <v>78</v>
      </c>
      <c r="Q186" s="41"/>
      <c r="R186" s="41"/>
    </row>
    <row r="187">
      <c r="F187" s="40"/>
      <c r="H187" s="40"/>
      <c r="I187" s="57"/>
      <c r="J187" s="43"/>
      <c r="K187" s="40"/>
      <c r="L187" s="40"/>
      <c r="M187" s="41"/>
      <c r="N187" s="41"/>
      <c r="O187" s="41" t="s">
        <v>78</v>
      </c>
      <c r="P187" s="41" t="s">
        <v>78</v>
      </c>
      <c r="Q187" s="41"/>
      <c r="R187" s="41"/>
    </row>
    <row r="188">
      <c r="F188" s="40"/>
      <c r="H188" s="40"/>
      <c r="I188" s="57"/>
      <c r="J188" s="43"/>
      <c r="K188" s="40"/>
      <c r="L188" s="40"/>
      <c r="M188" s="41"/>
      <c r="N188" s="41"/>
      <c r="O188" s="41" t="s">
        <v>78</v>
      </c>
      <c r="P188" s="41" t="s">
        <v>78</v>
      </c>
      <c r="Q188" s="41"/>
      <c r="R188" s="41"/>
    </row>
    <row r="189">
      <c r="F189" s="40"/>
      <c r="H189" s="40"/>
      <c r="I189" s="57"/>
      <c r="J189" s="43"/>
      <c r="K189" s="40"/>
      <c r="L189" s="40"/>
      <c r="M189" s="41"/>
      <c r="N189" s="41"/>
      <c r="O189" s="41" t="s">
        <v>78</v>
      </c>
      <c r="P189" s="41" t="s">
        <v>78</v>
      </c>
      <c r="Q189" s="41"/>
      <c r="R189" s="41"/>
    </row>
    <row r="190">
      <c r="F190" s="40"/>
      <c r="H190" s="40"/>
      <c r="I190" s="57"/>
      <c r="J190" s="43"/>
      <c r="K190" s="40"/>
      <c r="L190" s="40"/>
      <c r="M190" s="41"/>
      <c r="N190" s="41"/>
      <c r="O190" s="41" t="s">
        <v>78</v>
      </c>
      <c r="P190" s="41" t="s">
        <v>78</v>
      </c>
      <c r="Q190" s="41"/>
      <c r="R190" s="41"/>
    </row>
    <row r="191">
      <c r="F191" s="40"/>
      <c r="H191" s="40"/>
      <c r="I191" s="57"/>
      <c r="J191" s="43"/>
      <c r="K191" s="40"/>
      <c r="L191" s="40"/>
      <c r="M191" s="41"/>
      <c r="N191" s="41"/>
      <c r="O191" s="41" t="s">
        <v>78</v>
      </c>
      <c r="P191" s="41" t="s">
        <v>78</v>
      </c>
      <c r="Q191" s="41"/>
      <c r="R191" s="41"/>
    </row>
    <row r="192">
      <c r="F192" s="40"/>
      <c r="H192" s="40"/>
      <c r="I192" s="57"/>
      <c r="J192" s="43"/>
      <c r="K192" s="40"/>
      <c r="L192" s="40"/>
      <c r="M192" s="41"/>
      <c r="N192" s="41"/>
      <c r="O192" s="41" t="s">
        <v>78</v>
      </c>
      <c r="P192" s="41" t="s">
        <v>78</v>
      </c>
      <c r="Q192" s="41"/>
      <c r="R192" s="41"/>
    </row>
    <row r="193">
      <c r="F193" s="40"/>
      <c r="H193" s="40"/>
      <c r="I193" s="57"/>
      <c r="J193" s="43"/>
      <c r="K193" s="40"/>
      <c r="L193" s="40"/>
      <c r="M193" s="41"/>
      <c r="N193" s="41"/>
      <c r="O193" s="41" t="s">
        <v>78</v>
      </c>
      <c r="P193" s="41" t="s">
        <v>78</v>
      </c>
      <c r="Q193" s="41"/>
      <c r="R193" s="41"/>
    </row>
    <row r="194">
      <c r="F194" s="40"/>
      <c r="H194" s="40"/>
      <c r="I194" s="57"/>
      <c r="J194" s="43"/>
      <c r="K194" s="40"/>
      <c r="L194" s="40"/>
      <c r="M194" s="41"/>
      <c r="N194" s="41"/>
      <c r="O194" s="41" t="s">
        <v>78</v>
      </c>
      <c r="P194" s="41" t="s">
        <v>78</v>
      </c>
      <c r="Q194" s="41"/>
      <c r="R194" s="41"/>
    </row>
    <row r="195">
      <c r="F195" s="40"/>
      <c r="H195" s="40"/>
      <c r="I195" s="57"/>
      <c r="J195" s="43"/>
      <c r="K195" s="40"/>
      <c r="L195" s="40"/>
      <c r="M195" s="41"/>
      <c r="N195" s="41"/>
      <c r="O195" s="41" t="s">
        <v>78</v>
      </c>
      <c r="P195" s="41" t="s">
        <v>78</v>
      </c>
      <c r="Q195" s="41"/>
      <c r="R195" s="41"/>
    </row>
    <row r="196">
      <c r="F196" s="40"/>
      <c r="H196" s="40"/>
      <c r="I196" s="57"/>
      <c r="J196" s="43"/>
      <c r="K196" s="40"/>
      <c r="L196" s="40"/>
      <c r="M196" s="41"/>
      <c r="N196" s="41"/>
      <c r="O196" s="41" t="s">
        <v>78</v>
      </c>
      <c r="P196" s="41" t="s">
        <v>78</v>
      </c>
      <c r="Q196" s="41"/>
      <c r="R196" s="41"/>
    </row>
    <row r="197">
      <c r="F197" s="40"/>
      <c r="H197" s="40"/>
      <c r="I197" s="57"/>
      <c r="J197" s="43"/>
      <c r="K197" s="40"/>
      <c r="L197" s="40"/>
      <c r="M197" s="41"/>
      <c r="N197" s="41"/>
      <c r="O197" s="41" t="s">
        <v>78</v>
      </c>
      <c r="P197" s="41" t="s">
        <v>78</v>
      </c>
      <c r="Q197" s="41"/>
      <c r="R197" s="41"/>
    </row>
    <row r="198">
      <c r="F198" s="40"/>
      <c r="H198" s="40"/>
      <c r="I198" s="57"/>
      <c r="J198" s="43"/>
      <c r="K198" s="40"/>
      <c r="L198" s="40"/>
      <c r="M198" s="41"/>
      <c r="N198" s="41"/>
      <c r="O198" s="41" t="s">
        <v>78</v>
      </c>
      <c r="P198" s="41" t="s">
        <v>78</v>
      </c>
      <c r="Q198" s="41"/>
      <c r="R198" s="41"/>
    </row>
    <row r="199">
      <c r="F199" s="40"/>
      <c r="H199" s="40"/>
      <c r="I199" s="57"/>
      <c r="J199" s="43"/>
      <c r="K199" s="40"/>
      <c r="L199" s="40"/>
      <c r="M199" s="41"/>
      <c r="N199" s="41"/>
      <c r="O199" s="41" t="s">
        <v>78</v>
      </c>
      <c r="P199" s="41" t="s">
        <v>78</v>
      </c>
      <c r="Q199" s="41"/>
      <c r="R199" s="41"/>
    </row>
    <row r="200">
      <c r="F200" s="40"/>
      <c r="H200" s="40"/>
      <c r="I200" s="57"/>
      <c r="J200" s="43"/>
      <c r="K200" s="40"/>
      <c r="L200" s="40"/>
      <c r="M200" s="41"/>
      <c r="N200" s="41"/>
      <c r="O200" s="41" t="s">
        <v>78</v>
      </c>
      <c r="P200" s="41" t="s">
        <v>78</v>
      </c>
      <c r="Q200" s="41"/>
      <c r="R200" s="41"/>
    </row>
    <row r="201">
      <c r="F201" s="40"/>
      <c r="H201" s="40"/>
      <c r="I201" s="57"/>
      <c r="J201" s="43"/>
      <c r="K201" s="40"/>
      <c r="L201" s="40"/>
      <c r="M201" s="41"/>
      <c r="N201" s="41"/>
      <c r="O201" s="41" t="s">
        <v>78</v>
      </c>
      <c r="P201" s="41" t="s">
        <v>78</v>
      </c>
      <c r="Q201" s="41"/>
      <c r="R201" s="41"/>
    </row>
    <row r="202">
      <c r="F202" s="40"/>
      <c r="H202" s="40"/>
      <c r="I202" s="57"/>
      <c r="J202" s="43"/>
      <c r="K202" s="40"/>
      <c r="L202" s="40"/>
      <c r="M202" s="41"/>
      <c r="N202" s="41"/>
      <c r="O202" s="41" t="s">
        <v>78</v>
      </c>
      <c r="P202" s="41" t="s">
        <v>78</v>
      </c>
      <c r="Q202" s="41"/>
      <c r="R202" s="41"/>
    </row>
    <row r="203">
      <c r="F203" s="40"/>
      <c r="H203" s="40"/>
      <c r="I203" s="57"/>
      <c r="J203" s="43"/>
      <c r="K203" s="40"/>
      <c r="L203" s="40"/>
      <c r="M203" s="41"/>
      <c r="N203" s="41"/>
      <c r="O203" s="41" t="s">
        <v>78</v>
      </c>
      <c r="P203" s="41" t="s">
        <v>78</v>
      </c>
      <c r="Q203" s="41"/>
      <c r="R203" s="41"/>
    </row>
    <row r="204">
      <c r="F204" s="40"/>
      <c r="H204" s="40"/>
      <c r="I204" s="57"/>
      <c r="J204" s="43"/>
      <c r="K204" s="40"/>
      <c r="L204" s="40"/>
      <c r="M204" s="41"/>
      <c r="N204" s="41"/>
      <c r="O204" s="41" t="s">
        <v>78</v>
      </c>
      <c r="P204" s="41" t="s">
        <v>78</v>
      </c>
      <c r="Q204" s="41"/>
      <c r="R204" s="41"/>
    </row>
    <row r="205">
      <c r="F205" s="40"/>
      <c r="H205" s="40"/>
      <c r="I205" s="57"/>
      <c r="J205" s="43"/>
      <c r="K205" s="40"/>
      <c r="L205" s="40"/>
      <c r="M205" s="41"/>
      <c r="N205" s="41"/>
      <c r="O205" s="41" t="s">
        <v>78</v>
      </c>
      <c r="P205" s="41" t="s">
        <v>78</v>
      </c>
      <c r="Q205" s="41"/>
      <c r="R205" s="41"/>
    </row>
    <row r="206">
      <c r="F206" s="40"/>
      <c r="H206" s="40"/>
      <c r="I206" s="57"/>
      <c r="J206" s="43"/>
      <c r="K206" s="40"/>
      <c r="L206" s="40"/>
      <c r="M206" s="41"/>
      <c r="N206" s="41"/>
      <c r="O206" s="41" t="s">
        <v>78</v>
      </c>
      <c r="P206" s="41" t="s">
        <v>78</v>
      </c>
      <c r="Q206" s="41"/>
      <c r="R206" s="41"/>
    </row>
    <row r="207">
      <c r="F207" s="40"/>
      <c r="H207" s="40"/>
      <c r="I207" s="57"/>
      <c r="J207" s="43"/>
      <c r="K207" s="40"/>
      <c r="L207" s="40"/>
      <c r="M207" s="41"/>
      <c r="N207" s="41"/>
      <c r="O207" s="41" t="s">
        <v>78</v>
      </c>
      <c r="P207" s="41" t="s">
        <v>78</v>
      </c>
      <c r="Q207" s="41"/>
      <c r="R207" s="41"/>
    </row>
    <row r="208">
      <c r="F208" s="40"/>
      <c r="H208" s="40"/>
      <c r="I208" s="57"/>
      <c r="J208" s="43"/>
      <c r="K208" s="40"/>
      <c r="L208" s="40"/>
      <c r="M208" s="41"/>
      <c r="N208" s="41"/>
      <c r="O208" s="41" t="s">
        <v>78</v>
      </c>
      <c r="P208" s="41" t="s">
        <v>78</v>
      </c>
      <c r="Q208" s="41"/>
      <c r="R208" s="41"/>
    </row>
    <row r="209">
      <c r="F209" s="40"/>
      <c r="H209" s="40"/>
      <c r="I209" s="57"/>
      <c r="J209" s="43"/>
      <c r="K209" s="40"/>
      <c r="L209" s="40"/>
      <c r="M209" s="41"/>
      <c r="N209" s="41"/>
      <c r="O209" s="41" t="s">
        <v>78</v>
      </c>
      <c r="P209" s="41" t="s">
        <v>78</v>
      </c>
      <c r="Q209" s="41"/>
      <c r="R209" s="41"/>
    </row>
    <row r="210">
      <c r="F210" s="40"/>
      <c r="H210" s="40"/>
      <c r="I210" s="57"/>
      <c r="J210" s="43"/>
      <c r="K210" s="40"/>
      <c r="L210" s="40"/>
      <c r="M210" s="41"/>
      <c r="N210" s="41"/>
      <c r="O210" s="41" t="s">
        <v>78</v>
      </c>
      <c r="P210" s="41" t="s">
        <v>78</v>
      </c>
      <c r="Q210" s="41"/>
      <c r="R210" s="41"/>
    </row>
    <row r="211">
      <c r="F211" s="40"/>
      <c r="H211" s="40"/>
      <c r="I211" s="57"/>
      <c r="J211" s="43"/>
      <c r="K211" s="40"/>
      <c r="L211" s="40"/>
      <c r="M211" s="41"/>
      <c r="N211" s="41"/>
      <c r="O211" s="41" t="s">
        <v>78</v>
      </c>
      <c r="P211" s="41" t="s">
        <v>78</v>
      </c>
      <c r="Q211" s="41"/>
      <c r="R211" s="41"/>
    </row>
    <row r="212">
      <c r="F212" s="40"/>
      <c r="H212" s="40"/>
      <c r="I212" s="57"/>
      <c r="J212" s="43"/>
      <c r="K212" s="40"/>
      <c r="L212" s="40"/>
      <c r="M212" s="41"/>
      <c r="N212" s="41"/>
      <c r="O212" s="41" t="s">
        <v>78</v>
      </c>
      <c r="P212" s="41" t="s">
        <v>78</v>
      </c>
      <c r="Q212" s="41"/>
      <c r="R212" s="41"/>
    </row>
    <row r="213">
      <c r="F213" s="40"/>
      <c r="H213" s="40"/>
      <c r="I213" s="57"/>
      <c r="J213" s="43"/>
      <c r="K213" s="40"/>
      <c r="L213" s="40"/>
      <c r="M213" s="41"/>
      <c r="N213" s="41"/>
      <c r="O213" s="41" t="s">
        <v>78</v>
      </c>
      <c r="P213" s="41" t="s">
        <v>78</v>
      </c>
      <c r="Q213" s="41"/>
      <c r="R213" s="41"/>
    </row>
    <row r="214">
      <c r="F214" s="40"/>
      <c r="H214" s="40"/>
      <c r="I214" s="57"/>
      <c r="J214" s="43"/>
      <c r="K214" s="40"/>
      <c r="L214" s="40"/>
      <c r="M214" s="41"/>
      <c r="N214" s="41"/>
      <c r="O214" s="41" t="s">
        <v>78</v>
      </c>
      <c r="P214" s="41" t="s">
        <v>78</v>
      </c>
      <c r="Q214" s="41"/>
      <c r="R214" s="41"/>
    </row>
    <row r="215">
      <c r="F215" s="40"/>
      <c r="H215" s="40"/>
      <c r="I215" s="57"/>
      <c r="J215" s="43"/>
      <c r="K215" s="40"/>
      <c r="L215" s="40"/>
      <c r="M215" s="41"/>
      <c r="N215" s="41"/>
      <c r="O215" s="41" t="s">
        <v>78</v>
      </c>
      <c r="P215" s="41" t="s">
        <v>78</v>
      </c>
      <c r="Q215" s="41"/>
      <c r="R215" s="41"/>
    </row>
    <row r="216">
      <c r="F216" s="40"/>
      <c r="H216" s="40"/>
      <c r="I216" s="57"/>
      <c r="J216" s="43"/>
      <c r="K216" s="40"/>
      <c r="L216" s="40"/>
      <c r="M216" s="41"/>
      <c r="N216" s="41"/>
      <c r="O216" s="41" t="s">
        <v>78</v>
      </c>
      <c r="P216" s="41" t="s">
        <v>78</v>
      </c>
      <c r="Q216" s="41"/>
      <c r="R216" s="41"/>
    </row>
    <row r="217">
      <c r="F217" s="40"/>
      <c r="H217" s="40"/>
      <c r="I217" s="57"/>
      <c r="J217" s="43"/>
      <c r="K217" s="40"/>
      <c r="L217" s="40"/>
      <c r="M217" s="41"/>
      <c r="N217" s="41"/>
      <c r="O217" s="41" t="s">
        <v>78</v>
      </c>
      <c r="P217" s="41" t="s">
        <v>78</v>
      </c>
      <c r="Q217" s="41"/>
      <c r="R217" s="41"/>
    </row>
    <row r="218">
      <c r="F218" s="40"/>
      <c r="H218" s="40"/>
      <c r="I218" s="57"/>
      <c r="J218" s="43"/>
      <c r="K218" s="40"/>
      <c r="L218" s="40"/>
      <c r="M218" s="41"/>
      <c r="N218" s="41"/>
      <c r="O218" s="41" t="s">
        <v>78</v>
      </c>
      <c r="P218" s="41" t="s">
        <v>78</v>
      </c>
      <c r="Q218" s="41"/>
      <c r="R218" s="41"/>
    </row>
    <row r="219">
      <c r="F219" s="40"/>
      <c r="H219" s="40"/>
      <c r="I219" s="57"/>
      <c r="J219" s="43"/>
      <c r="K219" s="40"/>
      <c r="L219" s="40"/>
      <c r="M219" s="41"/>
      <c r="N219" s="41"/>
      <c r="O219" s="41" t="s">
        <v>78</v>
      </c>
      <c r="P219" s="41" t="s">
        <v>78</v>
      </c>
      <c r="Q219" s="41"/>
      <c r="R219" s="41"/>
    </row>
    <row r="220">
      <c r="F220" s="40"/>
      <c r="H220" s="40"/>
      <c r="I220" s="57"/>
      <c r="J220" s="43"/>
      <c r="K220" s="40"/>
      <c r="L220" s="40"/>
      <c r="M220" s="41"/>
      <c r="N220" s="41"/>
      <c r="O220" s="41" t="s">
        <v>78</v>
      </c>
      <c r="P220" s="41" t="s">
        <v>78</v>
      </c>
      <c r="Q220" s="41"/>
      <c r="R220" s="41"/>
    </row>
    <row r="221">
      <c r="F221" s="40"/>
      <c r="H221" s="40"/>
      <c r="I221" s="57"/>
      <c r="J221" s="43"/>
      <c r="K221" s="40"/>
      <c r="L221" s="40"/>
      <c r="M221" s="41"/>
      <c r="N221" s="41"/>
      <c r="O221" s="41" t="s">
        <v>78</v>
      </c>
      <c r="P221" s="41" t="s">
        <v>78</v>
      </c>
      <c r="Q221" s="41"/>
      <c r="R221" s="41"/>
    </row>
    <row r="222">
      <c r="F222" s="40"/>
      <c r="H222" s="40"/>
      <c r="I222" s="57"/>
      <c r="J222" s="43"/>
      <c r="K222" s="40"/>
      <c r="L222" s="40"/>
      <c r="M222" s="41"/>
      <c r="N222" s="41"/>
      <c r="O222" s="41" t="s">
        <v>78</v>
      </c>
      <c r="P222" s="41" t="s">
        <v>78</v>
      </c>
      <c r="Q222" s="41"/>
      <c r="R222" s="41"/>
    </row>
    <row r="223">
      <c r="F223" s="40"/>
      <c r="H223" s="40"/>
      <c r="I223" s="57"/>
      <c r="J223" s="43"/>
      <c r="K223" s="40"/>
      <c r="L223" s="40"/>
      <c r="M223" s="41"/>
      <c r="N223" s="41"/>
      <c r="O223" s="41" t="s">
        <v>78</v>
      </c>
      <c r="P223" s="41" t="s">
        <v>78</v>
      </c>
      <c r="Q223" s="41"/>
      <c r="R223" s="41"/>
    </row>
    <row r="224">
      <c r="F224" s="40"/>
      <c r="H224" s="40"/>
      <c r="I224" s="57"/>
      <c r="J224" s="43"/>
      <c r="K224" s="40"/>
      <c r="L224" s="40"/>
      <c r="M224" s="41"/>
      <c r="N224" s="41"/>
      <c r="O224" s="41" t="s">
        <v>78</v>
      </c>
      <c r="P224" s="41" t="s">
        <v>78</v>
      </c>
      <c r="Q224" s="41"/>
      <c r="R224" s="41"/>
    </row>
    <row r="225">
      <c r="F225" s="40"/>
      <c r="H225" s="40"/>
      <c r="I225" s="57"/>
      <c r="J225" s="43"/>
      <c r="K225" s="40"/>
      <c r="L225" s="40"/>
      <c r="M225" s="41"/>
      <c r="N225" s="41"/>
      <c r="O225" s="41" t="s">
        <v>78</v>
      </c>
      <c r="P225" s="41" t="s">
        <v>78</v>
      </c>
      <c r="Q225" s="41"/>
      <c r="R225" s="41"/>
    </row>
    <row r="226">
      <c r="F226" s="40"/>
      <c r="H226" s="40"/>
      <c r="I226" s="57"/>
      <c r="J226" s="43"/>
      <c r="K226" s="40"/>
      <c r="L226" s="40"/>
      <c r="M226" s="41"/>
      <c r="N226" s="41"/>
      <c r="O226" s="41" t="s">
        <v>78</v>
      </c>
      <c r="P226" s="41" t="s">
        <v>78</v>
      </c>
      <c r="Q226" s="41"/>
      <c r="R226" s="41"/>
    </row>
    <row r="227">
      <c r="F227" s="40"/>
      <c r="H227" s="40"/>
      <c r="I227" s="57"/>
      <c r="J227" s="43"/>
      <c r="K227" s="40"/>
      <c r="L227" s="40"/>
      <c r="M227" s="41"/>
      <c r="N227" s="41"/>
      <c r="O227" s="41" t="s">
        <v>78</v>
      </c>
      <c r="P227" s="41" t="s">
        <v>78</v>
      </c>
      <c r="Q227" s="41"/>
      <c r="R227" s="41"/>
    </row>
    <row r="228">
      <c r="F228" s="40"/>
      <c r="H228" s="40"/>
      <c r="I228" s="57"/>
      <c r="J228" s="43"/>
      <c r="K228" s="40"/>
      <c r="L228" s="40"/>
      <c r="M228" s="41"/>
      <c r="N228" s="41"/>
      <c r="O228" s="41" t="s">
        <v>78</v>
      </c>
      <c r="P228" s="41" t="s">
        <v>78</v>
      </c>
      <c r="Q228" s="41"/>
      <c r="R228" s="41"/>
    </row>
    <row r="229">
      <c r="F229" s="40"/>
      <c r="H229" s="40"/>
      <c r="I229" s="57"/>
      <c r="J229" s="43"/>
      <c r="K229" s="40"/>
      <c r="L229" s="40"/>
      <c r="M229" s="41"/>
      <c r="N229" s="41"/>
      <c r="O229" s="41" t="s">
        <v>78</v>
      </c>
      <c r="P229" s="41" t="s">
        <v>78</v>
      </c>
      <c r="Q229" s="41"/>
      <c r="R229" s="41"/>
    </row>
    <row r="230">
      <c r="F230" s="40"/>
      <c r="H230" s="40"/>
      <c r="I230" s="57"/>
      <c r="J230" s="43"/>
      <c r="K230" s="40"/>
      <c r="L230" s="40"/>
      <c r="M230" s="41"/>
      <c r="N230" s="41"/>
      <c r="O230" s="41" t="s">
        <v>78</v>
      </c>
      <c r="P230" s="41" t="s">
        <v>78</v>
      </c>
      <c r="Q230" s="41"/>
      <c r="R230" s="41"/>
    </row>
    <row r="231">
      <c r="F231" s="40"/>
      <c r="H231" s="40"/>
      <c r="I231" s="57"/>
      <c r="J231" s="43"/>
      <c r="K231" s="40"/>
      <c r="L231" s="40"/>
      <c r="M231" s="41"/>
      <c r="N231" s="41"/>
      <c r="O231" s="41" t="s">
        <v>78</v>
      </c>
      <c r="P231" s="41" t="s">
        <v>78</v>
      </c>
      <c r="Q231" s="41"/>
      <c r="R231" s="41"/>
    </row>
    <row r="232">
      <c r="F232" s="40"/>
      <c r="H232" s="40"/>
      <c r="I232" s="57"/>
      <c r="J232" s="43"/>
      <c r="K232" s="40"/>
      <c r="L232" s="40"/>
      <c r="M232" s="41"/>
      <c r="N232" s="41"/>
      <c r="O232" s="41" t="s">
        <v>78</v>
      </c>
      <c r="P232" s="41" t="s">
        <v>78</v>
      </c>
      <c r="Q232" s="41"/>
      <c r="R232" s="41"/>
    </row>
    <row r="233">
      <c r="F233" s="40"/>
      <c r="H233" s="40"/>
      <c r="I233" s="57"/>
      <c r="J233" s="43"/>
      <c r="K233" s="40"/>
      <c r="L233" s="40"/>
      <c r="M233" s="41"/>
      <c r="N233" s="41"/>
      <c r="O233" s="41" t="s">
        <v>78</v>
      </c>
      <c r="P233" s="41" t="s">
        <v>78</v>
      </c>
      <c r="Q233" s="41"/>
      <c r="R233" s="41"/>
    </row>
    <row r="234">
      <c r="F234" s="40"/>
      <c r="H234" s="40"/>
      <c r="I234" s="57"/>
      <c r="J234" s="43"/>
      <c r="K234" s="40"/>
      <c r="L234" s="40"/>
      <c r="M234" s="41"/>
      <c r="N234" s="41"/>
      <c r="O234" s="41" t="s">
        <v>78</v>
      </c>
      <c r="P234" s="41" t="s">
        <v>78</v>
      </c>
      <c r="Q234" s="41"/>
      <c r="R234" s="41"/>
    </row>
    <row r="235">
      <c r="F235" s="40"/>
      <c r="H235" s="40"/>
      <c r="I235" s="57"/>
      <c r="J235" s="43"/>
      <c r="K235" s="40"/>
      <c r="L235" s="40"/>
      <c r="M235" s="41"/>
      <c r="N235" s="41"/>
      <c r="O235" s="41" t="s">
        <v>78</v>
      </c>
      <c r="P235" s="41" t="s">
        <v>78</v>
      </c>
      <c r="Q235" s="41"/>
      <c r="R235" s="41"/>
    </row>
    <row r="236">
      <c r="F236" s="40"/>
      <c r="H236" s="40"/>
      <c r="I236" s="57"/>
      <c r="J236" s="43"/>
      <c r="K236" s="40"/>
      <c r="L236" s="40"/>
      <c r="M236" s="41"/>
      <c r="N236" s="41"/>
      <c r="O236" s="41" t="s">
        <v>78</v>
      </c>
      <c r="P236" s="41" t="s">
        <v>78</v>
      </c>
      <c r="Q236" s="41"/>
      <c r="R236" s="41"/>
    </row>
    <row r="237">
      <c r="F237" s="40"/>
      <c r="H237" s="40"/>
      <c r="I237" s="57"/>
      <c r="J237" s="43"/>
      <c r="K237" s="40"/>
      <c r="L237" s="40"/>
      <c r="M237" s="41"/>
      <c r="N237" s="41"/>
      <c r="O237" s="41" t="s">
        <v>78</v>
      </c>
      <c r="P237" s="41" t="s">
        <v>78</v>
      </c>
      <c r="Q237" s="41"/>
      <c r="R237" s="41"/>
    </row>
    <row r="238">
      <c r="F238" s="40"/>
      <c r="H238" s="40"/>
      <c r="I238" s="57"/>
      <c r="J238" s="43"/>
      <c r="K238" s="40"/>
      <c r="L238" s="40"/>
      <c r="M238" s="41"/>
      <c r="N238" s="41"/>
      <c r="O238" s="41" t="s">
        <v>78</v>
      </c>
      <c r="P238" s="41" t="s">
        <v>78</v>
      </c>
      <c r="Q238" s="41"/>
      <c r="R238" s="41"/>
    </row>
    <row r="239">
      <c r="F239" s="40"/>
      <c r="H239" s="40"/>
      <c r="I239" s="57"/>
      <c r="J239" s="43"/>
      <c r="K239" s="40"/>
      <c r="L239" s="40"/>
      <c r="M239" s="41"/>
      <c r="N239" s="41"/>
      <c r="O239" s="41" t="s">
        <v>78</v>
      </c>
      <c r="P239" s="41" t="s">
        <v>78</v>
      </c>
      <c r="Q239" s="41"/>
      <c r="R239" s="41"/>
    </row>
    <row r="240">
      <c r="F240" s="40"/>
      <c r="H240" s="40"/>
      <c r="I240" s="57"/>
      <c r="J240" s="43"/>
      <c r="K240" s="40"/>
      <c r="L240" s="40"/>
      <c r="M240" s="41"/>
      <c r="N240" s="41"/>
      <c r="O240" s="41" t="s">
        <v>78</v>
      </c>
      <c r="P240" s="41" t="s">
        <v>78</v>
      </c>
      <c r="Q240" s="41"/>
      <c r="R240" s="41"/>
    </row>
    <row r="241">
      <c r="F241" s="40"/>
      <c r="H241" s="40"/>
      <c r="I241" s="57"/>
      <c r="J241" s="43"/>
      <c r="K241" s="40"/>
      <c r="L241" s="40"/>
      <c r="M241" s="41"/>
      <c r="N241" s="41"/>
      <c r="O241" s="41" t="s">
        <v>78</v>
      </c>
      <c r="P241" s="41" t="s">
        <v>78</v>
      </c>
      <c r="Q241" s="41"/>
      <c r="R241" s="41"/>
    </row>
    <row r="242">
      <c r="F242" s="40"/>
      <c r="H242" s="40"/>
      <c r="I242" s="57"/>
      <c r="J242" s="43"/>
      <c r="K242" s="40"/>
      <c r="L242" s="40"/>
      <c r="M242" s="41"/>
      <c r="N242" s="41"/>
      <c r="O242" s="41" t="s">
        <v>78</v>
      </c>
      <c r="P242" s="41" t="s">
        <v>78</v>
      </c>
      <c r="Q242" s="41"/>
      <c r="R242" s="41"/>
    </row>
    <row r="243">
      <c r="F243" s="40"/>
      <c r="H243" s="40"/>
      <c r="I243" s="57"/>
      <c r="J243" s="43"/>
      <c r="K243" s="40"/>
      <c r="L243" s="40"/>
      <c r="M243" s="41"/>
      <c r="N243" s="41"/>
      <c r="O243" s="41" t="s">
        <v>78</v>
      </c>
      <c r="P243" s="41" t="s">
        <v>78</v>
      </c>
      <c r="Q243" s="41"/>
      <c r="R243" s="41"/>
    </row>
    <row r="244">
      <c r="F244" s="40"/>
      <c r="H244" s="40"/>
      <c r="I244" s="57"/>
      <c r="J244" s="43"/>
      <c r="K244" s="40"/>
      <c r="L244" s="40"/>
      <c r="M244" s="41"/>
      <c r="N244" s="41"/>
      <c r="O244" s="41" t="s">
        <v>78</v>
      </c>
      <c r="P244" s="41" t="s">
        <v>78</v>
      </c>
      <c r="Q244" s="41"/>
      <c r="R244" s="41"/>
    </row>
    <row r="245">
      <c r="F245" s="40"/>
      <c r="H245" s="40"/>
      <c r="I245" s="57"/>
      <c r="J245" s="43"/>
      <c r="K245" s="40"/>
      <c r="L245" s="40"/>
      <c r="M245" s="41"/>
      <c r="N245" s="41"/>
      <c r="O245" s="41" t="s">
        <v>78</v>
      </c>
      <c r="P245" s="41" t="s">
        <v>78</v>
      </c>
      <c r="Q245" s="41"/>
      <c r="R245" s="41"/>
    </row>
    <row r="246">
      <c r="F246" s="40"/>
      <c r="H246" s="40"/>
      <c r="I246" s="57"/>
      <c r="J246" s="43"/>
      <c r="K246" s="40"/>
      <c r="L246" s="40"/>
      <c r="M246" s="41"/>
      <c r="N246" s="41"/>
      <c r="O246" s="41" t="s">
        <v>78</v>
      </c>
      <c r="P246" s="41" t="s">
        <v>78</v>
      </c>
      <c r="Q246" s="41"/>
      <c r="R246" s="41"/>
    </row>
    <row r="247">
      <c r="F247" s="40"/>
      <c r="H247" s="40"/>
      <c r="I247" s="57"/>
      <c r="J247" s="43"/>
      <c r="K247" s="40"/>
      <c r="L247" s="40"/>
      <c r="M247" s="41"/>
      <c r="N247" s="41"/>
      <c r="O247" s="41" t="s">
        <v>78</v>
      </c>
      <c r="P247" s="41" t="s">
        <v>78</v>
      </c>
      <c r="Q247" s="41"/>
      <c r="R247" s="41"/>
    </row>
    <row r="248">
      <c r="F248" s="40"/>
      <c r="H248" s="40"/>
      <c r="I248" s="57"/>
      <c r="J248" s="43"/>
      <c r="K248" s="40"/>
      <c r="L248" s="40"/>
      <c r="M248" s="41"/>
      <c r="N248" s="41"/>
      <c r="O248" s="41" t="s">
        <v>78</v>
      </c>
      <c r="P248" s="41" t="s">
        <v>78</v>
      </c>
      <c r="Q248" s="41"/>
      <c r="R248" s="41"/>
    </row>
    <row r="249">
      <c r="F249" s="40"/>
      <c r="H249" s="40"/>
      <c r="I249" s="57"/>
      <c r="J249" s="43"/>
      <c r="K249" s="40"/>
      <c r="L249" s="40"/>
      <c r="M249" s="41"/>
      <c r="N249" s="41"/>
      <c r="O249" s="41" t="s">
        <v>78</v>
      </c>
      <c r="P249" s="41" t="s">
        <v>78</v>
      </c>
      <c r="Q249" s="41"/>
      <c r="R249" s="41"/>
    </row>
    <row r="250">
      <c r="F250" s="40"/>
      <c r="H250" s="40"/>
      <c r="I250" s="57"/>
      <c r="J250" s="43"/>
      <c r="K250" s="40"/>
      <c r="L250" s="40"/>
      <c r="M250" s="41"/>
      <c r="N250" s="41"/>
      <c r="O250" s="41" t="s">
        <v>78</v>
      </c>
      <c r="P250" s="41" t="s">
        <v>78</v>
      </c>
      <c r="Q250" s="41"/>
      <c r="R250" s="41"/>
    </row>
    <row r="251">
      <c r="F251" s="40"/>
      <c r="H251" s="40"/>
      <c r="I251" s="57"/>
      <c r="J251" s="43"/>
      <c r="K251" s="40"/>
      <c r="L251" s="40"/>
      <c r="M251" s="41"/>
      <c r="N251" s="41"/>
      <c r="O251" s="41" t="s">
        <v>78</v>
      </c>
      <c r="P251" s="41" t="s">
        <v>78</v>
      </c>
      <c r="Q251" s="41"/>
      <c r="R251" s="41"/>
    </row>
    <row r="252">
      <c r="F252" s="40"/>
      <c r="H252" s="40"/>
      <c r="I252" s="57"/>
      <c r="J252" s="43"/>
      <c r="K252" s="40"/>
      <c r="L252" s="40"/>
      <c r="M252" s="41"/>
      <c r="N252" s="41"/>
      <c r="O252" s="41" t="s">
        <v>78</v>
      </c>
      <c r="P252" s="41" t="s">
        <v>78</v>
      </c>
      <c r="Q252" s="41"/>
      <c r="R252" s="41"/>
    </row>
    <row r="253">
      <c r="F253" s="40"/>
      <c r="H253" s="40"/>
      <c r="I253" s="57"/>
      <c r="J253" s="43"/>
      <c r="K253" s="40"/>
      <c r="L253" s="40"/>
      <c r="M253" s="41"/>
      <c r="N253" s="41"/>
      <c r="O253" s="41" t="s">
        <v>78</v>
      </c>
      <c r="P253" s="41" t="s">
        <v>78</v>
      </c>
      <c r="Q253" s="41"/>
      <c r="R253" s="41"/>
    </row>
    <row r="254">
      <c r="F254" s="40"/>
      <c r="H254" s="40"/>
      <c r="I254" s="57"/>
      <c r="J254" s="43"/>
      <c r="K254" s="40"/>
      <c r="L254" s="40"/>
      <c r="M254" s="41"/>
      <c r="N254" s="41"/>
      <c r="O254" s="41" t="s">
        <v>78</v>
      </c>
      <c r="P254" s="41" t="s">
        <v>78</v>
      </c>
      <c r="Q254" s="41"/>
      <c r="R254" s="41"/>
    </row>
    <row r="255">
      <c r="F255" s="40"/>
      <c r="H255" s="40"/>
      <c r="I255" s="57"/>
      <c r="J255" s="43"/>
      <c r="K255" s="40"/>
      <c r="L255" s="40"/>
      <c r="M255" s="41"/>
      <c r="N255" s="41"/>
      <c r="O255" s="41" t="s">
        <v>78</v>
      </c>
      <c r="P255" s="41" t="s">
        <v>78</v>
      </c>
      <c r="Q255" s="41"/>
      <c r="R255" s="41"/>
    </row>
    <row r="256">
      <c r="F256" s="40"/>
      <c r="H256" s="40"/>
      <c r="I256" s="57"/>
      <c r="J256" s="43"/>
      <c r="K256" s="40"/>
      <c r="L256" s="40"/>
      <c r="M256" s="41"/>
      <c r="N256" s="41"/>
      <c r="O256" s="41" t="s">
        <v>78</v>
      </c>
      <c r="P256" s="41" t="s">
        <v>78</v>
      </c>
      <c r="Q256" s="41"/>
      <c r="R256" s="41"/>
    </row>
    <row r="257">
      <c r="F257" s="40"/>
      <c r="H257" s="40"/>
      <c r="I257" s="57"/>
      <c r="J257" s="43"/>
      <c r="K257" s="40"/>
      <c r="L257" s="40"/>
      <c r="M257" s="41"/>
      <c r="N257" s="41"/>
      <c r="O257" s="41" t="s">
        <v>78</v>
      </c>
      <c r="P257" s="41" t="s">
        <v>78</v>
      </c>
      <c r="Q257" s="41"/>
      <c r="R257" s="41"/>
    </row>
    <row r="258">
      <c r="F258" s="40"/>
      <c r="H258" s="40"/>
      <c r="I258" s="57"/>
      <c r="J258" s="43"/>
      <c r="K258" s="40"/>
      <c r="L258" s="40"/>
      <c r="M258" s="41"/>
      <c r="N258" s="41"/>
      <c r="O258" s="41" t="s">
        <v>78</v>
      </c>
      <c r="P258" s="41" t="s">
        <v>78</v>
      </c>
      <c r="Q258" s="41"/>
      <c r="R258" s="41"/>
    </row>
    <row r="259">
      <c r="F259" s="40"/>
      <c r="H259" s="40"/>
      <c r="I259" s="57"/>
      <c r="J259" s="43"/>
      <c r="K259" s="40"/>
      <c r="L259" s="40"/>
      <c r="M259" s="41"/>
      <c r="N259" s="41"/>
      <c r="O259" s="41" t="s">
        <v>78</v>
      </c>
      <c r="P259" s="41" t="s">
        <v>78</v>
      </c>
      <c r="Q259" s="41"/>
      <c r="R259" s="41"/>
    </row>
    <row r="260">
      <c r="F260" s="40"/>
      <c r="H260" s="40"/>
      <c r="I260" s="57"/>
      <c r="J260" s="43"/>
      <c r="K260" s="40"/>
      <c r="L260" s="40"/>
      <c r="M260" s="41"/>
      <c r="N260" s="41"/>
      <c r="O260" s="41" t="s">
        <v>78</v>
      </c>
      <c r="P260" s="41" t="s">
        <v>78</v>
      </c>
      <c r="Q260" s="41"/>
      <c r="R260" s="41"/>
    </row>
    <row r="261">
      <c r="F261" s="40"/>
      <c r="H261" s="40"/>
      <c r="I261" s="57"/>
      <c r="J261" s="43"/>
      <c r="K261" s="40"/>
      <c r="L261" s="40"/>
      <c r="M261" s="41"/>
      <c r="N261" s="41"/>
      <c r="O261" s="41" t="s">
        <v>78</v>
      </c>
      <c r="P261" s="41" t="s">
        <v>78</v>
      </c>
      <c r="Q261" s="41"/>
      <c r="R261" s="41"/>
    </row>
    <row r="262">
      <c r="F262" s="40"/>
      <c r="H262" s="40"/>
      <c r="I262" s="57"/>
      <c r="J262" s="43"/>
      <c r="K262" s="40"/>
      <c r="L262" s="40"/>
      <c r="M262" s="41"/>
      <c r="N262" s="41"/>
      <c r="O262" s="41" t="s">
        <v>78</v>
      </c>
      <c r="P262" s="41" t="s">
        <v>78</v>
      </c>
      <c r="Q262" s="41"/>
      <c r="R262" s="41"/>
    </row>
    <row r="263">
      <c r="F263" s="40"/>
      <c r="H263" s="40"/>
      <c r="I263" s="57"/>
      <c r="J263" s="43"/>
      <c r="K263" s="40"/>
      <c r="L263" s="40"/>
      <c r="M263" s="41"/>
      <c r="N263" s="41"/>
      <c r="O263" s="41" t="s">
        <v>78</v>
      </c>
      <c r="P263" s="41" t="s">
        <v>78</v>
      </c>
      <c r="Q263" s="41"/>
      <c r="R263" s="41"/>
    </row>
    <row r="264">
      <c r="F264" s="40"/>
      <c r="H264" s="40"/>
      <c r="I264" s="57"/>
      <c r="J264" s="43"/>
      <c r="K264" s="40"/>
      <c r="L264" s="40"/>
      <c r="M264" s="41"/>
      <c r="N264" s="41"/>
      <c r="O264" s="41" t="s">
        <v>78</v>
      </c>
      <c r="P264" s="41" t="s">
        <v>78</v>
      </c>
      <c r="Q264" s="41"/>
      <c r="R264" s="41"/>
    </row>
    <row r="265">
      <c r="F265" s="40"/>
      <c r="H265" s="40"/>
      <c r="I265" s="57"/>
      <c r="J265" s="43"/>
      <c r="K265" s="40"/>
      <c r="L265" s="40"/>
      <c r="M265" s="41"/>
      <c r="N265" s="41"/>
      <c r="O265" s="41" t="s">
        <v>78</v>
      </c>
      <c r="P265" s="41" t="s">
        <v>78</v>
      </c>
      <c r="Q265" s="41"/>
      <c r="R265" s="41"/>
    </row>
    <row r="266">
      <c r="F266" s="40"/>
      <c r="H266" s="40"/>
      <c r="I266" s="57"/>
      <c r="J266" s="43"/>
      <c r="K266" s="40"/>
      <c r="L266" s="40"/>
      <c r="M266" s="41"/>
      <c r="N266" s="41"/>
      <c r="O266" s="41" t="s">
        <v>78</v>
      </c>
      <c r="P266" s="41" t="s">
        <v>78</v>
      </c>
      <c r="Q266" s="41"/>
      <c r="R266" s="41"/>
    </row>
    <row r="267">
      <c r="F267" s="40"/>
      <c r="H267" s="40"/>
      <c r="I267" s="57"/>
      <c r="J267" s="43"/>
      <c r="K267" s="40"/>
      <c r="L267" s="40"/>
      <c r="M267" s="41"/>
      <c r="N267" s="41"/>
      <c r="O267" s="41" t="s">
        <v>78</v>
      </c>
      <c r="P267" s="41" t="s">
        <v>78</v>
      </c>
      <c r="Q267" s="41"/>
      <c r="R267" s="41"/>
    </row>
    <row r="268">
      <c r="F268" s="40"/>
      <c r="H268" s="40"/>
      <c r="I268" s="57"/>
      <c r="J268" s="43"/>
      <c r="K268" s="40"/>
      <c r="L268" s="40"/>
      <c r="M268" s="41"/>
      <c r="N268" s="41"/>
      <c r="O268" s="41" t="s">
        <v>78</v>
      </c>
      <c r="P268" s="41" t="s">
        <v>78</v>
      </c>
      <c r="Q268" s="41"/>
      <c r="R268" s="41"/>
    </row>
    <row r="269">
      <c r="F269" s="40"/>
      <c r="H269" s="40"/>
      <c r="I269" s="57"/>
      <c r="J269" s="43"/>
      <c r="K269" s="40"/>
      <c r="L269" s="40"/>
      <c r="M269" s="41"/>
      <c r="N269" s="41"/>
      <c r="O269" s="41" t="s">
        <v>78</v>
      </c>
      <c r="P269" s="41" t="s">
        <v>78</v>
      </c>
      <c r="Q269" s="41"/>
      <c r="R269" s="41"/>
    </row>
    <row r="270">
      <c r="F270" s="40"/>
      <c r="H270" s="40"/>
      <c r="I270" s="57"/>
      <c r="J270" s="43"/>
      <c r="K270" s="40"/>
      <c r="L270" s="40"/>
      <c r="M270" s="41"/>
      <c r="N270" s="41"/>
      <c r="O270" s="41" t="s">
        <v>78</v>
      </c>
      <c r="P270" s="41" t="s">
        <v>78</v>
      </c>
      <c r="Q270" s="41"/>
      <c r="R270" s="41"/>
    </row>
    <row r="271">
      <c r="F271" s="40"/>
      <c r="H271" s="40"/>
      <c r="I271" s="57"/>
      <c r="J271" s="43"/>
      <c r="K271" s="40"/>
      <c r="L271" s="40"/>
      <c r="M271" s="41"/>
      <c r="N271" s="41"/>
      <c r="O271" s="41" t="s">
        <v>78</v>
      </c>
      <c r="P271" s="41" t="s">
        <v>78</v>
      </c>
      <c r="Q271" s="41"/>
      <c r="R271" s="41"/>
    </row>
    <row r="272">
      <c r="F272" s="40"/>
      <c r="H272" s="40"/>
      <c r="I272" s="57"/>
      <c r="J272" s="43"/>
      <c r="K272" s="40"/>
      <c r="L272" s="40"/>
      <c r="M272" s="41"/>
      <c r="N272" s="41"/>
      <c r="O272" s="41" t="s">
        <v>78</v>
      </c>
      <c r="P272" s="41" t="s">
        <v>78</v>
      </c>
      <c r="Q272" s="41"/>
      <c r="R272" s="41"/>
    </row>
    <row r="273">
      <c r="F273" s="40"/>
      <c r="H273" s="40"/>
      <c r="I273" s="57"/>
      <c r="J273" s="43"/>
      <c r="K273" s="40"/>
      <c r="L273" s="40"/>
      <c r="M273" s="41"/>
      <c r="N273" s="41"/>
      <c r="O273" s="41" t="s">
        <v>78</v>
      </c>
      <c r="P273" s="41" t="s">
        <v>78</v>
      </c>
      <c r="Q273" s="41"/>
      <c r="R273" s="41"/>
    </row>
    <row r="274">
      <c r="F274" s="40"/>
      <c r="H274" s="40"/>
      <c r="I274" s="57"/>
      <c r="J274" s="43"/>
      <c r="K274" s="40"/>
      <c r="L274" s="40"/>
      <c r="M274" s="41"/>
      <c r="N274" s="41"/>
      <c r="O274" s="41" t="s">
        <v>78</v>
      </c>
      <c r="P274" s="41" t="s">
        <v>78</v>
      </c>
      <c r="Q274" s="41"/>
      <c r="R274" s="41"/>
    </row>
    <row r="275">
      <c r="F275" s="40"/>
      <c r="H275" s="40"/>
      <c r="I275" s="57"/>
      <c r="J275" s="43"/>
      <c r="K275" s="40"/>
      <c r="L275" s="40"/>
      <c r="M275" s="41"/>
      <c r="N275" s="41"/>
      <c r="O275" s="41" t="s">
        <v>78</v>
      </c>
      <c r="P275" s="41" t="s">
        <v>78</v>
      </c>
      <c r="Q275" s="41"/>
      <c r="R275" s="41"/>
    </row>
    <row r="276">
      <c r="F276" s="40"/>
      <c r="H276" s="40"/>
      <c r="I276" s="57"/>
      <c r="J276" s="43"/>
      <c r="K276" s="40"/>
      <c r="L276" s="40"/>
      <c r="M276" s="41"/>
      <c r="N276" s="41"/>
      <c r="O276" s="41" t="s">
        <v>78</v>
      </c>
      <c r="P276" s="41" t="s">
        <v>78</v>
      </c>
      <c r="Q276" s="41"/>
      <c r="R276" s="41"/>
    </row>
    <row r="277">
      <c r="F277" s="40"/>
      <c r="H277" s="40"/>
      <c r="I277" s="57"/>
      <c r="J277" s="43"/>
      <c r="K277" s="40"/>
      <c r="L277" s="40"/>
      <c r="M277" s="41"/>
      <c r="N277" s="41"/>
      <c r="O277" s="41" t="s">
        <v>78</v>
      </c>
      <c r="P277" s="41" t="s">
        <v>78</v>
      </c>
      <c r="Q277" s="41"/>
      <c r="R277" s="41"/>
    </row>
    <row r="278">
      <c r="F278" s="40"/>
      <c r="H278" s="40"/>
      <c r="I278" s="57"/>
      <c r="J278" s="43"/>
      <c r="K278" s="40"/>
      <c r="L278" s="40"/>
      <c r="M278" s="41"/>
      <c r="N278" s="41"/>
      <c r="O278" s="41" t="s">
        <v>78</v>
      </c>
      <c r="P278" s="41" t="s">
        <v>78</v>
      </c>
      <c r="Q278" s="41"/>
      <c r="R278" s="41"/>
    </row>
    <row r="279">
      <c r="F279" s="40"/>
      <c r="H279" s="40"/>
      <c r="I279" s="57"/>
      <c r="J279" s="43"/>
      <c r="K279" s="40"/>
      <c r="L279" s="40"/>
      <c r="M279" s="41"/>
      <c r="N279" s="41"/>
      <c r="O279" s="41" t="s">
        <v>78</v>
      </c>
      <c r="P279" s="41" t="s">
        <v>78</v>
      </c>
      <c r="Q279" s="41"/>
      <c r="R279" s="41"/>
    </row>
    <row r="280">
      <c r="F280" s="40"/>
      <c r="H280" s="40"/>
      <c r="I280" s="57"/>
      <c r="J280" s="43"/>
      <c r="K280" s="40"/>
      <c r="L280" s="40"/>
      <c r="M280" s="41"/>
      <c r="N280" s="41"/>
      <c r="O280" s="41" t="s">
        <v>78</v>
      </c>
      <c r="P280" s="41" t="s">
        <v>78</v>
      </c>
      <c r="Q280" s="41"/>
      <c r="R280" s="41"/>
    </row>
    <row r="281">
      <c r="F281" s="40"/>
      <c r="H281" s="40"/>
      <c r="I281" s="57"/>
      <c r="J281" s="43"/>
      <c r="K281" s="40"/>
      <c r="L281" s="40"/>
      <c r="M281" s="41"/>
      <c r="N281" s="41"/>
      <c r="O281" s="41" t="s">
        <v>78</v>
      </c>
      <c r="P281" s="41" t="s">
        <v>78</v>
      </c>
      <c r="Q281" s="41"/>
      <c r="R281" s="41"/>
    </row>
    <row r="282">
      <c r="F282" s="40"/>
      <c r="H282" s="40"/>
      <c r="I282" s="57"/>
      <c r="J282" s="43"/>
      <c r="K282" s="40"/>
      <c r="L282" s="40"/>
      <c r="M282" s="41"/>
      <c r="N282" s="41"/>
      <c r="O282" s="41" t="s">
        <v>78</v>
      </c>
      <c r="P282" s="41" t="s">
        <v>78</v>
      </c>
      <c r="Q282" s="41"/>
      <c r="R282" s="41"/>
    </row>
    <row r="283">
      <c r="F283" s="40"/>
      <c r="H283" s="40"/>
      <c r="I283" s="57"/>
      <c r="J283" s="43"/>
      <c r="K283" s="40"/>
      <c r="L283" s="40"/>
      <c r="M283" s="41"/>
      <c r="N283" s="41"/>
      <c r="O283" s="41" t="s">
        <v>78</v>
      </c>
      <c r="P283" s="41" t="s">
        <v>78</v>
      </c>
      <c r="Q283" s="41"/>
      <c r="R283" s="41"/>
    </row>
    <row r="284">
      <c r="F284" s="40"/>
      <c r="H284" s="40"/>
      <c r="I284" s="57"/>
      <c r="J284" s="43"/>
      <c r="K284" s="40"/>
      <c r="L284" s="40"/>
      <c r="M284" s="41"/>
      <c r="N284" s="41"/>
      <c r="O284" s="41" t="s">
        <v>78</v>
      </c>
      <c r="P284" s="41" t="s">
        <v>78</v>
      </c>
      <c r="Q284" s="41"/>
      <c r="R284" s="41"/>
    </row>
    <row r="285">
      <c r="F285" s="40"/>
      <c r="H285" s="40"/>
      <c r="I285" s="57"/>
      <c r="J285" s="43"/>
      <c r="K285" s="40"/>
      <c r="L285" s="40"/>
      <c r="M285" s="41"/>
      <c r="N285" s="41"/>
      <c r="O285" s="41" t="s">
        <v>78</v>
      </c>
      <c r="P285" s="41" t="s">
        <v>78</v>
      </c>
      <c r="Q285" s="41"/>
      <c r="R285" s="41"/>
    </row>
    <row r="286">
      <c r="F286" s="40"/>
      <c r="H286" s="40"/>
      <c r="I286" s="57"/>
      <c r="J286" s="43"/>
      <c r="K286" s="40"/>
      <c r="L286" s="40"/>
      <c r="M286" s="41"/>
      <c r="N286" s="41"/>
      <c r="O286" s="41" t="s">
        <v>78</v>
      </c>
      <c r="P286" s="41" t="s">
        <v>78</v>
      </c>
      <c r="Q286" s="41"/>
      <c r="R286" s="41"/>
    </row>
    <row r="287">
      <c r="F287" s="40"/>
      <c r="H287" s="40"/>
      <c r="I287" s="57"/>
      <c r="J287" s="43"/>
      <c r="K287" s="40"/>
      <c r="L287" s="40"/>
      <c r="M287" s="41"/>
      <c r="N287" s="41"/>
      <c r="O287" s="41" t="s">
        <v>78</v>
      </c>
      <c r="P287" s="41" t="s">
        <v>78</v>
      </c>
      <c r="Q287" s="41"/>
      <c r="R287" s="41"/>
    </row>
    <row r="288">
      <c r="F288" s="40"/>
      <c r="H288" s="40"/>
      <c r="I288" s="57"/>
      <c r="J288" s="43"/>
      <c r="K288" s="40"/>
      <c r="L288" s="40"/>
      <c r="M288" s="41"/>
      <c r="N288" s="41"/>
      <c r="O288" s="41" t="s">
        <v>78</v>
      </c>
      <c r="P288" s="41" t="s">
        <v>78</v>
      </c>
      <c r="Q288" s="41"/>
      <c r="R288" s="41"/>
    </row>
    <row r="289">
      <c r="F289" s="40"/>
      <c r="H289" s="40"/>
      <c r="I289" s="57"/>
      <c r="J289" s="43"/>
      <c r="K289" s="40"/>
      <c r="L289" s="40"/>
      <c r="M289" s="41"/>
      <c r="N289" s="41"/>
      <c r="O289" s="41" t="s">
        <v>78</v>
      </c>
      <c r="P289" s="41" t="s">
        <v>78</v>
      </c>
      <c r="Q289" s="41"/>
      <c r="R289" s="41"/>
    </row>
    <row r="290">
      <c r="F290" s="40"/>
      <c r="H290" s="40"/>
      <c r="I290" s="57"/>
      <c r="J290" s="43"/>
      <c r="K290" s="40"/>
      <c r="L290" s="40"/>
      <c r="M290" s="41"/>
      <c r="N290" s="41"/>
      <c r="O290" s="41" t="s">
        <v>78</v>
      </c>
      <c r="P290" s="41" t="s">
        <v>78</v>
      </c>
      <c r="Q290" s="41"/>
      <c r="R290" s="41"/>
    </row>
    <row r="291">
      <c r="F291" s="40"/>
      <c r="H291" s="40"/>
      <c r="I291" s="57"/>
      <c r="J291" s="43"/>
      <c r="K291" s="40"/>
      <c r="L291" s="40"/>
      <c r="M291" s="41"/>
      <c r="N291" s="41"/>
      <c r="O291" s="41" t="s">
        <v>78</v>
      </c>
      <c r="P291" s="41" t="s">
        <v>78</v>
      </c>
      <c r="Q291" s="41"/>
      <c r="R291" s="41"/>
    </row>
    <row r="292">
      <c r="F292" s="40"/>
      <c r="H292" s="40"/>
      <c r="I292" s="57"/>
      <c r="J292" s="43"/>
      <c r="K292" s="40"/>
      <c r="L292" s="40"/>
      <c r="M292" s="41"/>
      <c r="N292" s="41"/>
      <c r="O292" s="41" t="s">
        <v>78</v>
      </c>
      <c r="P292" s="41" t="s">
        <v>78</v>
      </c>
      <c r="Q292" s="41"/>
      <c r="R292" s="41"/>
    </row>
    <row r="293">
      <c r="F293" s="40"/>
      <c r="H293" s="40"/>
      <c r="I293" s="57"/>
      <c r="J293" s="43"/>
      <c r="K293" s="40"/>
      <c r="L293" s="40"/>
      <c r="M293" s="41"/>
      <c r="N293" s="41"/>
      <c r="O293" s="41" t="s">
        <v>78</v>
      </c>
      <c r="P293" s="41" t="s">
        <v>78</v>
      </c>
      <c r="Q293" s="41"/>
      <c r="R293" s="41"/>
    </row>
    <row r="294">
      <c r="F294" s="40"/>
      <c r="H294" s="40"/>
      <c r="I294" s="57"/>
      <c r="J294" s="43"/>
      <c r="K294" s="40"/>
      <c r="L294" s="40"/>
      <c r="M294" s="41"/>
      <c r="N294" s="41"/>
      <c r="O294" s="41" t="s">
        <v>78</v>
      </c>
      <c r="P294" s="41" t="s">
        <v>78</v>
      </c>
      <c r="Q294" s="41"/>
      <c r="R294" s="41"/>
    </row>
    <row r="295">
      <c r="F295" s="40"/>
      <c r="H295" s="40"/>
      <c r="I295" s="57"/>
      <c r="J295" s="43"/>
      <c r="K295" s="40"/>
      <c r="L295" s="40"/>
      <c r="M295" s="41"/>
      <c r="N295" s="41"/>
      <c r="O295" s="41" t="s">
        <v>78</v>
      </c>
      <c r="P295" s="41" t="s">
        <v>78</v>
      </c>
      <c r="Q295" s="41"/>
      <c r="R295" s="41"/>
    </row>
    <row r="296">
      <c r="F296" s="40"/>
      <c r="H296" s="40"/>
      <c r="I296" s="57"/>
      <c r="J296" s="43"/>
      <c r="K296" s="40"/>
      <c r="L296" s="40"/>
      <c r="M296" s="41"/>
      <c r="N296" s="41"/>
      <c r="O296" s="41" t="s">
        <v>78</v>
      </c>
      <c r="P296" s="41" t="s">
        <v>78</v>
      </c>
      <c r="Q296" s="41"/>
      <c r="R296" s="41"/>
    </row>
    <row r="297">
      <c r="F297" s="40"/>
      <c r="H297" s="40"/>
      <c r="I297" s="57"/>
      <c r="J297" s="43"/>
      <c r="K297" s="40"/>
      <c r="L297" s="40"/>
      <c r="M297" s="41"/>
      <c r="N297" s="41"/>
      <c r="O297" s="41" t="s">
        <v>78</v>
      </c>
      <c r="P297" s="41" t="s">
        <v>78</v>
      </c>
      <c r="Q297" s="41"/>
      <c r="R297" s="41"/>
    </row>
    <row r="298">
      <c r="F298" s="40"/>
      <c r="H298" s="40"/>
      <c r="I298" s="57"/>
      <c r="J298" s="43"/>
      <c r="K298" s="40"/>
      <c r="L298" s="40"/>
      <c r="M298" s="41"/>
      <c r="N298" s="41"/>
      <c r="O298" s="41" t="s">
        <v>78</v>
      </c>
      <c r="P298" s="41" t="s">
        <v>78</v>
      </c>
      <c r="Q298" s="41"/>
      <c r="R298" s="41"/>
    </row>
    <row r="299">
      <c r="F299" s="40"/>
      <c r="H299" s="40"/>
      <c r="I299" s="57"/>
      <c r="J299" s="43"/>
      <c r="K299" s="40"/>
      <c r="L299" s="40"/>
      <c r="M299" s="41"/>
      <c r="N299" s="41"/>
      <c r="O299" s="41" t="s">
        <v>78</v>
      </c>
      <c r="P299" s="41" t="s">
        <v>78</v>
      </c>
      <c r="Q299" s="41"/>
      <c r="R299" s="41"/>
    </row>
    <row r="300">
      <c r="F300" s="40"/>
      <c r="H300" s="40"/>
      <c r="I300" s="57"/>
      <c r="J300" s="43"/>
      <c r="K300" s="40"/>
      <c r="L300" s="40"/>
      <c r="M300" s="41"/>
      <c r="N300" s="41"/>
      <c r="O300" s="41" t="s">
        <v>78</v>
      </c>
      <c r="P300" s="41" t="s">
        <v>78</v>
      </c>
      <c r="Q300" s="41"/>
      <c r="R300" s="41"/>
    </row>
    <row r="301">
      <c r="F301" s="40"/>
      <c r="H301" s="40"/>
      <c r="I301" s="57"/>
      <c r="J301" s="43"/>
      <c r="K301" s="40"/>
      <c r="L301" s="40"/>
      <c r="M301" s="41"/>
      <c r="N301" s="41"/>
      <c r="O301" s="41" t="s">
        <v>78</v>
      </c>
      <c r="P301" s="41" t="s">
        <v>78</v>
      </c>
      <c r="Q301" s="41"/>
      <c r="R301" s="41"/>
    </row>
    <row r="302">
      <c r="F302" s="40"/>
      <c r="H302" s="40"/>
      <c r="I302" s="57"/>
      <c r="J302" s="43"/>
      <c r="K302" s="40"/>
      <c r="L302" s="40"/>
      <c r="M302" s="41"/>
      <c r="N302" s="41"/>
      <c r="O302" s="41" t="s">
        <v>78</v>
      </c>
      <c r="P302" s="41" t="s">
        <v>78</v>
      </c>
      <c r="Q302" s="41"/>
      <c r="R302" s="41"/>
    </row>
    <row r="303">
      <c r="F303" s="40"/>
      <c r="H303" s="40"/>
      <c r="I303" s="57"/>
      <c r="J303" s="43"/>
      <c r="K303" s="40"/>
      <c r="L303" s="40"/>
      <c r="M303" s="41"/>
      <c r="N303" s="41"/>
      <c r="O303" s="41" t="s">
        <v>78</v>
      </c>
      <c r="P303" s="41" t="s">
        <v>78</v>
      </c>
      <c r="Q303" s="41"/>
      <c r="R303" s="41"/>
    </row>
    <row r="304">
      <c r="F304" s="40"/>
      <c r="H304" s="40"/>
      <c r="I304" s="57"/>
      <c r="J304" s="43"/>
      <c r="K304" s="40"/>
      <c r="L304" s="40"/>
      <c r="M304" s="41"/>
      <c r="N304" s="41"/>
      <c r="O304" s="41" t="s">
        <v>78</v>
      </c>
      <c r="P304" s="41" t="s">
        <v>78</v>
      </c>
      <c r="Q304" s="41"/>
      <c r="R304" s="41"/>
    </row>
    <row r="305">
      <c r="F305" s="40"/>
      <c r="H305" s="40"/>
      <c r="I305" s="57"/>
      <c r="J305" s="43"/>
      <c r="K305" s="40"/>
      <c r="L305" s="40"/>
      <c r="M305" s="41"/>
      <c r="N305" s="41"/>
      <c r="O305" s="41" t="s">
        <v>78</v>
      </c>
      <c r="P305" s="41" t="s">
        <v>78</v>
      </c>
      <c r="Q305" s="41"/>
      <c r="R305" s="41"/>
    </row>
    <row r="306">
      <c r="F306" s="40"/>
      <c r="H306" s="40"/>
      <c r="I306" s="57"/>
      <c r="J306" s="43"/>
      <c r="K306" s="40"/>
      <c r="L306" s="40"/>
      <c r="M306" s="41"/>
      <c r="N306" s="41"/>
      <c r="O306" s="41" t="s">
        <v>78</v>
      </c>
      <c r="P306" s="41" t="s">
        <v>78</v>
      </c>
      <c r="Q306" s="41"/>
      <c r="R306" s="41"/>
    </row>
    <row r="307">
      <c r="F307" s="40"/>
      <c r="H307" s="40"/>
      <c r="I307" s="57"/>
      <c r="J307" s="43"/>
      <c r="K307" s="40"/>
      <c r="L307" s="40"/>
      <c r="M307" s="41"/>
      <c r="N307" s="41"/>
      <c r="O307" s="41" t="s">
        <v>78</v>
      </c>
      <c r="P307" s="41" t="s">
        <v>78</v>
      </c>
      <c r="Q307" s="41"/>
      <c r="R307" s="41"/>
    </row>
    <row r="308">
      <c r="F308" s="40"/>
      <c r="H308" s="40"/>
      <c r="I308" s="57"/>
      <c r="J308" s="43"/>
      <c r="K308" s="40"/>
      <c r="L308" s="40"/>
      <c r="M308" s="41"/>
      <c r="N308" s="41"/>
      <c r="O308" s="41" t="s">
        <v>78</v>
      </c>
      <c r="P308" s="41" t="s">
        <v>78</v>
      </c>
      <c r="Q308" s="41"/>
      <c r="R308" s="41"/>
    </row>
    <row r="309">
      <c r="F309" s="40"/>
      <c r="H309" s="40"/>
      <c r="I309" s="57"/>
      <c r="J309" s="43"/>
      <c r="K309" s="40"/>
      <c r="L309" s="40"/>
      <c r="M309" s="41"/>
      <c r="N309" s="41"/>
      <c r="O309" s="41" t="s">
        <v>78</v>
      </c>
      <c r="P309" s="41" t="s">
        <v>78</v>
      </c>
      <c r="Q309" s="41"/>
      <c r="R309" s="41"/>
    </row>
    <row r="310">
      <c r="F310" s="40"/>
      <c r="H310" s="40"/>
      <c r="I310" s="57"/>
      <c r="J310" s="43"/>
      <c r="K310" s="40"/>
      <c r="L310" s="40"/>
      <c r="M310" s="41"/>
      <c r="N310" s="41"/>
      <c r="O310" s="41" t="s">
        <v>78</v>
      </c>
      <c r="P310" s="41" t="s">
        <v>78</v>
      </c>
      <c r="Q310" s="41"/>
      <c r="R310" s="41"/>
    </row>
    <row r="311">
      <c r="F311" s="40"/>
      <c r="H311" s="40"/>
      <c r="I311" s="57"/>
      <c r="J311" s="43"/>
      <c r="K311" s="40"/>
      <c r="L311" s="40"/>
      <c r="M311" s="41"/>
      <c r="N311" s="41"/>
      <c r="O311" s="41" t="s">
        <v>78</v>
      </c>
      <c r="P311" s="41" t="s">
        <v>78</v>
      </c>
      <c r="Q311" s="41"/>
      <c r="R311" s="41"/>
    </row>
    <row r="312">
      <c r="F312" s="40"/>
      <c r="H312" s="40"/>
      <c r="I312" s="57"/>
      <c r="J312" s="43"/>
      <c r="K312" s="40"/>
      <c r="L312" s="40"/>
      <c r="M312" s="41"/>
      <c r="N312" s="41"/>
      <c r="O312" s="41" t="s">
        <v>78</v>
      </c>
      <c r="P312" s="41" t="s">
        <v>78</v>
      </c>
      <c r="Q312" s="41"/>
      <c r="R312" s="41"/>
    </row>
    <row r="313">
      <c r="F313" s="40"/>
      <c r="H313" s="40"/>
      <c r="I313" s="57"/>
      <c r="J313" s="43"/>
      <c r="K313" s="40"/>
      <c r="L313" s="40"/>
      <c r="M313" s="41"/>
      <c r="N313" s="41"/>
      <c r="O313" s="41" t="s">
        <v>78</v>
      </c>
      <c r="P313" s="41" t="s">
        <v>78</v>
      </c>
      <c r="Q313" s="41"/>
      <c r="R313" s="41"/>
    </row>
    <row r="314">
      <c r="F314" s="40"/>
      <c r="H314" s="40"/>
      <c r="I314" s="57"/>
      <c r="J314" s="43"/>
      <c r="K314" s="40"/>
      <c r="L314" s="40"/>
      <c r="M314" s="41"/>
      <c r="N314" s="41"/>
      <c r="O314" s="41" t="s">
        <v>78</v>
      </c>
      <c r="P314" s="41" t="s">
        <v>78</v>
      </c>
      <c r="Q314" s="41"/>
      <c r="R314" s="41"/>
    </row>
    <row r="315">
      <c r="F315" s="40"/>
      <c r="H315" s="40"/>
      <c r="I315" s="57"/>
      <c r="J315" s="43"/>
      <c r="K315" s="40"/>
      <c r="L315" s="40"/>
      <c r="M315" s="41"/>
      <c r="N315" s="41"/>
      <c r="O315" s="41" t="s">
        <v>78</v>
      </c>
      <c r="P315" s="41" t="s">
        <v>78</v>
      </c>
      <c r="Q315" s="41"/>
      <c r="R315" s="41"/>
    </row>
    <row r="316">
      <c r="F316" s="40"/>
      <c r="H316" s="40"/>
      <c r="I316" s="57"/>
      <c r="J316" s="43"/>
      <c r="K316" s="40"/>
      <c r="L316" s="40"/>
      <c r="M316" s="41"/>
      <c r="N316" s="41"/>
      <c r="O316" s="41" t="s">
        <v>78</v>
      </c>
      <c r="P316" s="41" t="s">
        <v>78</v>
      </c>
      <c r="Q316" s="41"/>
      <c r="R316" s="41"/>
    </row>
    <row r="317">
      <c r="F317" s="40"/>
      <c r="H317" s="40"/>
      <c r="I317" s="57"/>
      <c r="J317" s="43"/>
      <c r="K317" s="40"/>
      <c r="L317" s="40"/>
      <c r="M317" s="41"/>
      <c r="N317" s="41"/>
      <c r="O317" s="41" t="s">
        <v>78</v>
      </c>
      <c r="P317" s="41" t="s">
        <v>78</v>
      </c>
      <c r="Q317" s="41"/>
      <c r="R317" s="41"/>
    </row>
    <row r="318">
      <c r="F318" s="40"/>
      <c r="H318" s="40"/>
      <c r="I318" s="57"/>
      <c r="J318" s="43"/>
      <c r="K318" s="40"/>
      <c r="L318" s="40"/>
      <c r="M318" s="41"/>
      <c r="N318" s="41"/>
      <c r="O318" s="41" t="s">
        <v>78</v>
      </c>
      <c r="P318" s="41" t="s">
        <v>78</v>
      </c>
      <c r="Q318" s="41"/>
      <c r="R318" s="41"/>
    </row>
    <row r="319">
      <c r="F319" s="40"/>
      <c r="H319" s="40"/>
      <c r="I319" s="57"/>
      <c r="J319" s="43"/>
      <c r="K319" s="40"/>
      <c r="L319" s="40"/>
      <c r="M319" s="41"/>
      <c r="N319" s="41"/>
      <c r="O319" s="41" t="s">
        <v>78</v>
      </c>
      <c r="P319" s="41" t="s">
        <v>78</v>
      </c>
      <c r="Q319" s="41"/>
      <c r="R319" s="41"/>
    </row>
    <row r="320">
      <c r="F320" s="40"/>
      <c r="H320" s="40"/>
      <c r="I320" s="57"/>
      <c r="J320" s="43"/>
      <c r="K320" s="40"/>
      <c r="L320" s="40"/>
      <c r="M320" s="41"/>
      <c r="N320" s="41"/>
      <c r="O320" s="41" t="s">
        <v>78</v>
      </c>
      <c r="P320" s="41" t="s">
        <v>78</v>
      </c>
      <c r="Q320" s="41"/>
      <c r="R320" s="41"/>
    </row>
    <row r="321">
      <c r="F321" s="40"/>
      <c r="H321" s="40"/>
      <c r="I321" s="57"/>
      <c r="J321" s="43"/>
      <c r="K321" s="40"/>
      <c r="L321" s="40"/>
      <c r="M321" s="41"/>
      <c r="N321" s="41"/>
      <c r="O321" s="41" t="s">
        <v>78</v>
      </c>
      <c r="P321" s="41" t="s">
        <v>78</v>
      </c>
      <c r="Q321" s="41"/>
      <c r="R321" s="41"/>
    </row>
    <row r="322">
      <c r="F322" s="40"/>
      <c r="H322" s="40"/>
      <c r="I322" s="57"/>
      <c r="J322" s="43"/>
      <c r="K322" s="40"/>
      <c r="L322" s="40"/>
      <c r="M322" s="41"/>
      <c r="N322" s="41"/>
      <c r="O322" s="41" t="s">
        <v>78</v>
      </c>
      <c r="P322" s="41" t="s">
        <v>78</v>
      </c>
      <c r="Q322" s="41"/>
      <c r="R322" s="41"/>
    </row>
    <row r="323">
      <c r="F323" s="40"/>
      <c r="H323" s="40"/>
      <c r="I323" s="57"/>
      <c r="J323" s="43"/>
      <c r="K323" s="40"/>
      <c r="L323" s="40"/>
      <c r="M323" s="41"/>
      <c r="N323" s="41"/>
      <c r="O323" s="41" t="s">
        <v>78</v>
      </c>
      <c r="P323" s="41" t="s">
        <v>78</v>
      </c>
      <c r="Q323" s="41"/>
      <c r="R323" s="41"/>
    </row>
    <row r="324">
      <c r="F324" s="40"/>
      <c r="H324" s="40"/>
      <c r="I324" s="57"/>
      <c r="J324" s="43"/>
      <c r="K324" s="40"/>
      <c r="L324" s="40"/>
      <c r="M324" s="41"/>
      <c r="N324" s="41"/>
      <c r="O324" s="41" t="s">
        <v>78</v>
      </c>
      <c r="P324" s="41" t="s">
        <v>78</v>
      </c>
      <c r="Q324" s="41"/>
      <c r="R324" s="41"/>
    </row>
    <row r="325">
      <c r="F325" s="40"/>
      <c r="H325" s="40"/>
      <c r="I325" s="57"/>
      <c r="J325" s="43"/>
      <c r="K325" s="40"/>
      <c r="L325" s="40"/>
      <c r="M325" s="41"/>
      <c r="N325" s="41"/>
      <c r="O325" s="41" t="s">
        <v>78</v>
      </c>
      <c r="P325" s="41" t="s">
        <v>78</v>
      </c>
      <c r="Q325" s="41"/>
      <c r="R325" s="41"/>
    </row>
    <row r="326">
      <c r="F326" s="40"/>
      <c r="H326" s="40"/>
      <c r="I326" s="57"/>
      <c r="J326" s="43"/>
      <c r="K326" s="40"/>
      <c r="L326" s="40"/>
      <c r="M326" s="41"/>
      <c r="N326" s="41"/>
      <c r="O326" s="41" t="s">
        <v>78</v>
      </c>
      <c r="P326" s="41" t="s">
        <v>78</v>
      </c>
      <c r="Q326" s="41"/>
      <c r="R326" s="41"/>
    </row>
    <row r="327">
      <c r="F327" s="40"/>
      <c r="H327" s="40"/>
      <c r="I327" s="57"/>
      <c r="J327" s="43"/>
      <c r="K327" s="40"/>
      <c r="L327" s="40"/>
      <c r="M327" s="41"/>
      <c r="N327" s="41"/>
      <c r="O327" s="41" t="s">
        <v>78</v>
      </c>
      <c r="P327" s="41" t="s">
        <v>78</v>
      </c>
      <c r="Q327" s="41"/>
      <c r="R327" s="41"/>
    </row>
    <row r="328">
      <c r="F328" s="40"/>
      <c r="H328" s="40"/>
      <c r="I328" s="57"/>
      <c r="J328" s="43"/>
      <c r="K328" s="40"/>
      <c r="L328" s="40"/>
      <c r="M328" s="41"/>
      <c r="N328" s="41"/>
      <c r="O328" s="41" t="s">
        <v>78</v>
      </c>
      <c r="P328" s="41" t="s">
        <v>78</v>
      </c>
      <c r="Q328" s="41"/>
      <c r="R328" s="41"/>
    </row>
    <row r="329">
      <c r="F329" s="40"/>
      <c r="H329" s="40"/>
      <c r="I329" s="57"/>
      <c r="J329" s="43"/>
      <c r="K329" s="40"/>
      <c r="L329" s="40"/>
      <c r="M329" s="41"/>
      <c r="N329" s="41"/>
      <c r="O329" s="41" t="s">
        <v>78</v>
      </c>
      <c r="P329" s="41" t="s">
        <v>78</v>
      </c>
      <c r="Q329" s="41"/>
      <c r="R329" s="41"/>
    </row>
    <row r="330">
      <c r="F330" s="40"/>
      <c r="H330" s="40"/>
      <c r="I330" s="57"/>
      <c r="J330" s="43"/>
      <c r="K330" s="40"/>
      <c r="L330" s="40"/>
      <c r="M330" s="41"/>
      <c r="N330" s="41"/>
      <c r="O330" s="41" t="s">
        <v>78</v>
      </c>
      <c r="P330" s="41" t="s">
        <v>78</v>
      </c>
      <c r="Q330" s="41"/>
      <c r="R330" s="41"/>
    </row>
    <row r="331">
      <c r="F331" s="40"/>
      <c r="H331" s="40"/>
      <c r="I331" s="57"/>
      <c r="J331" s="43"/>
      <c r="K331" s="40"/>
      <c r="L331" s="40"/>
      <c r="M331" s="41"/>
      <c r="N331" s="41"/>
      <c r="O331" s="41" t="s">
        <v>78</v>
      </c>
      <c r="P331" s="41" t="s">
        <v>78</v>
      </c>
      <c r="Q331" s="41"/>
      <c r="R331" s="41"/>
    </row>
    <row r="332">
      <c r="F332" s="40"/>
      <c r="H332" s="40"/>
      <c r="I332" s="57"/>
      <c r="J332" s="43"/>
      <c r="K332" s="40"/>
      <c r="L332" s="40"/>
      <c r="M332" s="41"/>
      <c r="N332" s="41"/>
      <c r="O332" s="41" t="s">
        <v>78</v>
      </c>
      <c r="P332" s="41" t="s">
        <v>78</v>
      </c>
      <c r="Q332" s="41"/>
      <c r="R332" s="41"/>
    </row>
    <row r="333">
      <c r="F333" s="40"/>
      <c r="H333" s="40"/>
      <c r="I333" s="57"/>
      <c r="J333" s="43"/>
      <c r="K333" s="40"/>
      <c r="L333" s="40"/>
      <c r="M333" s="41"/>
      <c r="N333" s="41"/>
      <c r="O333" s="41" t="s">
        <v>78</v>
      </c>
      <c r="P333" s="41" t="s">
        <v>78</v>
      </c>
      <c r="Q333" s="41"/>
      <c r="R333" s="41"/>
    </row>
    <row r="334">
      <c r="F334" s="40"/>
      <c r="H334" s="40"/>
      <c r="I334" s="57"/>
      <c r="J334" s="43"/>
      <c r="K334" s="40"/>
      <c r="L334" s="40"/>
      <c r="M334" s="41"/>
      <c r="N334" s="41"/>
      <c r="O334" s="41" t="s">
        <v>78</v>
      </c>
      <c r="P334" s="41" t="s">
        <v>78</v>
      </c>
      <c r="Q334" s="41"/>
      <c r="R334" s="41"/>
    </row>
    <row r="335">
      <c r="F335" s="40"/>
      <c r="H335" s="40"/>
      <c r="I335" s="57"/>
      <c r="J335" s="43"/>
      <c r="K335" s="40"/>
      <c r="L335" s="40"/>
      <c r="M335" s="41"/>
      <c r="N335" s="41"/>
      <c r="O335" s="41" t="s">
        <v>78</v>
      </c>
      <c r="P335" s="41" t="s">
        <v>78</v>
      </c>
      <c r="Q335" s="41"/>
      <c r="R335" s="41"/>
    </row>
    <row r="336">
      <c r="F336" s="40"/>
      <c r="H336" s="40"/>
      <c r="I336" s="57"/>
      <c r="J336" s="43"/>
      <c r="K336" s="40"/>
      <c r="L336" s="40"/>
      <c r="M336" s="41"/>
      <c r="N336" s="41"/>
      <c r="O336" s="41" t="s">
        <v>78</v>
      </c>
      <c r="P336" s="41" t="s">
        <v>78</v>
      </c>
      <c r="Q336" s="41"/>
      <c r="R336" s="41"/>
    </row>
    <row r="337">
      <c r="F337" s="40"/>
      <c r="H337" s="40"/>
      <c r="I337" s="57"/>
      <c r="J337" s="43"/>
      <c r="K337" s="40"/>
      <c r="L337" s="40"/>
      <c r="M337" s="41"/>
      <c r="N337" s="41"/>
      <c r="O337" s="41" t="s">
        <v>78</v>
      </c>
      <c r="P337" s="41" t="s">
        <v>78</v>
      </c>
      <c r="Q337" s="41"/>
      <c r="R337" s="41"/>
    </row>
    <row r="338">
      <c r="F338" s="40"/>
      <c r="H338" s="40"/>
      <c r="I338" s="57"/>
      <c r="J338" s="43"/>
      <c r="K338" s="40"/>
      <c r="L338" s="40"/>
      <c r="M338" s="41"/>
      <c r="N338" s="41"/>
      <c r="O338" s="41" t="s">
        <v>78</v>
      </c>
      <c r="P338" s="41" t="s">
        <v>78</v>
      </c>
      <c r="Q338" s="41"/>
      <c r="R338" s="41"/>
    </row>
    <row r="339">
      <c r="F339" s="40"/>
      <c r="H339" s="40"/>
      <c r="I339" s="57"/>
      <c r="J339" s="43"/>
      <c r="K339" s="40"/>
      <c r="L339" s="40"/>
      <c r="M339" s="41"/>
      <c r="N339" s="41"/>
      <c r="O339" s="41" t="s">
        <v>78</v>
      </c>
      <c r="P339" s="41" t="s">
        <v>78</v>
      </c>
      <c r="Q339" s="41"/>
      <c r="R339" s="41"/>
    </row>
    <row r="340">
      <c r="F340" s="40"/>
      <c r="H340" s="40"/>
      <c r="I340" s="57"/>
      <c r="J340" s="43"/>
      <c r="K340" s="40"/>
      <c r="L340" s="40"/>
      <c r="M340" s="41"/>
      <c r="N340" s="41"/>
      <c r="O340" s="41" t="s">
        <v>78</v>
      </c>
      <c r="P340" s="41" t="s">
        <v>78</v>
      </c>
      <c r="Q340" s="41"/>
      <c r="R340" s="41"/>
    </row>
    <row r="341">
      <c r="F341" s="40"/>
      <c r="H341" s="40"/>
      <c r="I341" s="57"/>
      <c r="J341" s="43"/>
      <c r="K341" s="40"/>
      <c r="L341" s="40"/>
      <c r="M341" s="41"/>
      <c r="N341" s="41"/>
      <c r="O341" s="41" t="s">
        <v>78</v>
      </c>
      <c r="P341" s="41" t="s">
        <v>78</v>
      </c>
      <c r="Q341" s="41"/>
      <c r="R341" s="41"/>
    </row>
    <row r="342">
      <c r="F342" s="40"/>
      <c r="H342" s="40"/>
      <c r="I342" s="57"/>
      <c r="J342" s="43"/>
      <c r="K342" s="40"/>
      <c r="L342" s="40"/>
      <c r="M342" s="41"/>
      <c r="N342" s="41"/>
      <c r="O342" s="41" t="s">
        <v>78</v>
      </c>
      <c r="P342" s="41" t="s">
        <v>78</v>
      </c>
      <c r="Q342" s="41"/>
      <c r="R342" s="41"/>
    </row>
    <row r="343">
      <c r="F343" s="40"/>
      <c r="H343" s="40"/>
      <c r="I343" s="57"/>
      <c r="J343" s="43"/>
      <c r="K343" s="40"/>
      <c r="L343" s="40"/>
      <c r="M343" s="41"/>
      <c r="N343" s="41"/>
      <c r="O343" s="41" t="s">
        <v>78</v>
      </c>
      <c r="P343" s="41" t="s">
        <v>78</v>
      </c>
      <c r="Q343" s="41"/>
      <c r="R343" s="41"/>
    </row>
    <row r="344">
      <c r="F344" s="40"/>
      <c r="H344" s="40"/>
      <c r="I344" s="57"/>
      <c r="J344" s="43"/>
      <c r="K344" s="40"/>
      <c r="L344" s="40"/>
      <c r="M344" s="41"/>
      <c r="N344" s="41"/>
      <c r="O344" s="41" t="s">
        <v>78</v>
      </c>
      <c r="P344" s="41" t="s">
        <v>78</v>
      </c>
      <c r="Q344" s="41"/>
      <c r="R344" s="41"/>
    </row>
    <row r="345">
      <c r="F345" s="40"/>
      <c r="H345" s="40"/>
      <c r="I345" s="57"/>
      <c r="J345" s="43"/>
      <c r="K345" s="40"/>
      <c r="L345" s="40"/>
      <c r="M345" s="41"/>
      <c r="N345" s="41"/>
      <c r="O345" s="41" t="s">
        <v>78</v>
      </c>
      <c r="P345" s="41" t="s">
        <v>78</v>
      </c>
      <c r="Q345" s="41"/>
      <c r="R345" s="41"/>
    </row>
    <row r="346">
      <c r="F346" s="40"/>
      <c r="H346" s="40"/>
      <c r="I346" s="57"/>
      <c r="J346" s="43"/>
      <c r="K346" s="40"/>
      <c r="L346" s="40"/>
      <c r="M346" s="41"/>
      <c r="N346" s="41"/>
      <c r="O346" s="41" t="s">
        <v>78</v>
      </c>
      <c r="P346" s="41" t="s">
        <v>78</v>
      </c>
      <c r="Q346" s="41"/>
      <c r="R346" s="41"/>
    </row>
    <row r="347">
      <c r="F347" s="40"/>
      <c r="H347" s="40"/>
      <c r="I347" s="57"/>
      <c r="J347" s="43"/>
      <c r="K347" s="40"/>
      <c r="L347" s="40"/>
      <c r="M347" s="41"/>
      <c r="N347" s="41"/>
      <c r="O347" s="41" t="s">
        <v>78</v>
      </c>
      <c r="P347" s="41" t="s">
        <v>78</v>
      </c>
      <c r="Q347" s="41"/>
      <c r="R347" s="41"/>
    </row>
    <row r="348">
      <c r="F348" s="40"/>
      <c r="H348" s="40"/>
      <c r="I348" s="57"/>
      <c r="J348" s="43"/>
      <c r="K348" s="40"/>
      <c r="L348" s="40"/>
      <c r="M348" s="41"/>
      <c r="N348" s="41"/>
      <c r="O348" s="41" t="s">
        <v>78</v>
      </c>
      <c r="P348" s="41" t="s">
        <v>78</v>
      </c>
      <c r="Q348" s="41"/>
      <c r="R348" s="41"/>
    </row>
    <row r="349">
      <c r="F349" s="40"/>
      <c r="H349" s="40"/>
      <c r="I349" s="57"/>
      <c r="J349" s="43"/>
      <c r="K349" s="40"/>
      <c r="L349" s="40"/>
      <c r="M349" s="41"/>
      <c r="N349" s="41"/>
      <c r="O349" s="41" t="s">
        <v>78</v>
      </c>
      <c r="P349" s="41" t="s">
        <v>78</v>
      </c>
      <c r="Q349" s="41"/>
      <c r="R349" s="41"/>
    </row>
    <row r="350">
      <c r="F350" s="40"/>
      <c r="H350" s="40"/>
      <c r="I350" s="57"/>
      <c r="J350" s="43"/>
      <c r="K350" s="40"/>
      <c r="L350" s="40"/>
      <c r="M350" s="41"/>
      <c r="N350" s="41"/>
      <c r="O350" s="41" t="s">
        <v>78</v>
      </c>
      <c r="P350" s="41" t="s">
        <v>78</v>
      </c>
      <c r="Q350" s="41"/>
      <c r="R350" s="41"/>
    </row>
    <row r="351">
      <c r="F351" s="40"/>
      <c r="H351" s="40"/>
      <c r="I351" s="57"/>
      <c r="J351" s="43"/>
      <c r="K351" s="40"/>
      <c r="L351" s="40"/>
      <c r="M351" s="41"/>
      <c r="N351" s="41"/>
      <c r="O351" s="41" t="s">
        <v>78</v>
      </c>
      <c r="P351" s="41" t="s">
        <v>78</v>
      </c>
      <c r="Q351" s="41"/>
      <c r="R351" s="41"/>
    </row>
    <row r="352">
      <c r="F352" s="40"/>
      <c r="H352" s="40"/>
      <c r="I352" s="57"/>
      <c r="J352" s="43"/>
      <c r="K352" s="40"/>
      <c r="L352" s="40"/>
      <c r="M352" s="41"/>
      <c r="N352" s="41"/>
      <c r="O352" s="41" t="s">
        <v>78</v>
      </c>
      <c r="P352" s="41" t="s">
        <v>78</v>
      </c>
      <c r="Q352" s="41"/>
      <c r="R352" s="41"/>
    </row>
    <row r="353">
      <c r="F353" s="40"/>
      <c r="H353" s="40"/>
      <c r="I353" s="57"/>
      <c r="J353" s="43"/>
      <c r="K353" s="40"/>
      <c r="L353" s="40"/>
      <c r="M353" s="41"/>
      <c r="N353" s="41"/>
      <c r="O353" s="41" t="s">
        <v>78</v>
      </c>
      <c r="P353" s="41" t="s">
        <v>78</v>
      </c>
      <c r="Q353" s="41"/>
      <c r="R353" s="41"/>
    </row>
    <row r="354">
      <c r="F354" s="40"/>
      <c r="H354" s="40"/>
      <c r="I354" s="57"/>
      <c r="J354" s="43"/>
      <c r="K354" s="40"/>
      <c r="L354" s="40"/>
      <c r="M354" s="41"/>
      <c r="N354" s="41"/>
      <c r="O354" s="41" t="s">
        <v>78</v>
      </c>
      <c r="P354" s="41" t="s">
        <v>78</v>
      </c>
      <c r="Q354" s="41"/>
      <c r="R354" s="41"/>
    </row>
    <row r="355">
      <c r="F355" s="40"/>
      <c r="H355" s="40"/>
      <c r="I355" s="57"/>
      <c r="J355" s="43"/>
      <c r="K355" s="40"/>
      <c r="L355" s="40"/>
      <c r="M355" s="41"/>
      <c r="N355" s="41"/>
      <c r="O355" s="41" t="s">
        <v>78</v>
      </c>
      <c r="P355" s="41" t="s">
        <v>78</v>
      </c>
      <c r="Q355" s="41"/>
      <c r="R355" s="41"/>
    </row>
    <row r="356">
      <c r="F356" s="40"/>
      <c r="H356" s="40"/>
      <c r="I356" s="57"/>
      <c r="J356" s="43"/>
      <c r="K356" s="40"/>
      <c r="L356" s="40"/>
      <c r="M356" s="41"/>
      <c r="N356" s="41"/>
      <c r="O356" s="41" t="s">
        <v>78</v>
      </c>
      <c r="P356" s="41" t="s">
        <v>78</v>
      </c>
      <c r="Q356" s="41"/>
      <c r="R356" s="41"/>
    </row>
    <row r="357">
      <c r="F357" s="40"/>
      <c r="H357" s="40"/>
      <c r="I357" s="57"/>
      <c r="J357" s="43"/>
      <c r="K357" s="40"/>
      <c r="L357" s="40"/>
      <c r="M357" s="41"/>
      <c r="N357" s="41"/>
      <c r="O357" s="41" t="s">
        <v>78</v>
      </c>
      <c r="P357" s="41" t="s">
        <v>78</v>
      </c>
      <c r="Q357" s="41"/>
      <c r="R357" s="41"/>
    </row>
    <row r="358">
      <c r="F358" s="40"/>
      <c r="H358" s="40"/>
      <c r="I358" s="57"/>
      <c r="J358" s="43"/>
      <c r="K358" s="40"/>
      <c r="L358" s="40"/>
      <c r="M358" s="41"/>
      <c r="N358" s="41"/>
      <c r="O358" s="41" t="s">
        <v>78</v>
      </c>
      <c r="P358" s="41" t="s">
        <v>78</v>
      </c>
      <c r="Q358" s="41"/>
      <c r="R358" s="41"/>
    </row>
    <row r="359">
      <c r="F359" s="40"/>
      <c r="H359" s="40"/>
      <c r="I359" s="57"/>
      <c r="J359" s="43"/>
      <c r="K359" s="40"/>
      <c r="L359" s="40"/>
      <c r="M359" s="41"/>
      <c r="N359" s="41"/>
      <c r="O359" s="41" t="s">
        <v>78</v>
      </c>
      <c r="P359" s="41" t="s">
        <v>78</v>
      </c>
      <c r="Q359" s="41"/>
      <c r="R359" s="41"/>
    </row>
    <row r="360">
      <c r="F360" s="40"/>
      <c r="H360" s="40"/>
      <c r="I360" s="57"/>
      <c r="J360" s="43"/>
      <c r="K360" s="40"/>
      <c r="L360" s="40"/>
      <c r="M360" s="41"/>
      <c r="N360" s="41"/>
      <c r="O360" s="41" t="s">
        <v>78</v>
      </c>
      <c r="P360" s="41" t="s">
        <v>78</v>
      </c>
      <c r="Q360" s="41"/>
      <c r="R360" s="41"/>
    </row>
    <row r="361">
      <c r="F361" s="40"/>
      <c r="H361" s="40"/>
      <c r="I361" s="57"/>
      <c r="J361" s="43"/>
      <c r="K361" s="40"/>
      <c r="L361" s="40"/>
      <c r="M361" s="41"/>
      <c r="N361" s="41"/>
      <c r="O361" s="41" t="s">
        <v>78</v>
      </c>
      <c r="P361" s="41" t="s">
        <v>78</v>
      </c>
      <c r="Q361" s="41"/>
      <c r="R361" s="41"/>
    </row>
    <row r="362">
      <c r="F362" s="40"/>
      <c r="H362" s="40"/>
      <c r="I362" s="57"/>
      <c r="J362" s="43"/>
      <c r="K362" s="40"/>
      <c r="L362" s="40"/>
      <c r="M362" s="41"/>
      <c r="N362" s="41"/>
      <c r="O362" s="41" t="s">
        <v>78</v>
      </c>
      <c r="P362" s="41" t="s">
        <v>78</v>
      </c>
      <c r="Q362" s="41"/>
      <c r="R362" s="41"/>
    </row>
    <row r="363">
      <c r="F363" s="40"/>
      <c r="H363" s="40"/>
      <c r="I363" s="57"/>
      <c r="J363" s="43"/>
      <c r="K363" s="40"/>
      <c r="L363" s="40"/>
      <c r="M363" s="41"/>
      <c r="N363" s="41"/>
      <c r="O363" s="41" t="s">
        <v>78</v>
      </c>
      <c r="P363" s="41" t="s">
        <v>78</v>
      </c>
      <c r="Q363" s="41"/>
      <c r="R363" s="41"/>
    </row>
    <row r="364">
      <c r="F364" s="40"/>
      <c r="H364" s="40"/>
      <c r="I364" s="57"/>
      <c r="J364" s="43"/>
      <c r="K364" s="40"/>
      <c r="L364" s="40"/>
      <c r="M364" s="41"/>
      <c r="N364" s="41"/>
      <c r="O364" s="41" t="s">
        <v>78</v>
      </c>
      <c r="P364" s="41" t="s">
        <v>78</v>
      </c>
      <c r="Q364" s="41"/>
      <c r="R364" s="41"/>
    </row>
    <row r="365">
      <c r="F365" s="40"/>
      <c r="H365" s="40"/>
      <c r="I365" s="57"/>
      <c r="J365" s="43"/>
      <c r="K365" s="40"/>
      <c r="L365" s="40"/>
      <c r="M365" s="41"/>
      <c r="N365" s="41"/>
      <c r="O365" s="41" t="s">
        <v>78</v>
      </c>
      <c r="P365" s="41" t="s">
        <v>78</v>
      </c>
      <c r="Q365" s="41"/>
      <c r="R365" s="41"/>
    </row>
    <row r="366">
      <c r="F366" s="40"/>
      <c r="H366" s="40"/>
      <c r="I366" s="57"/>
      <c r="J366" s="43"/>
      <c r="K366" s="40"/>
      <c r="L366" s="40"/>
      <c r="M366" s="41"/>
      <c r="N366" s="41"/>
      <c r="O366" s="41" t="s">
        <v>78</v>
      </c>
      <c r="P366" s="41" t="s">
        <v>78</v>
      </c>
      <c r="Q366" s="41"/>
      <c r="R366" s="41"/>
    </row>
    <row r="367">
      <c r="F367" s="40"/>
      <c r="H367" s="40"/>
      <c r="I367" s="57"/>
      <c r="J367" s="43"/>
      <c r="K367" s="40"/>
      <c r="L367" s="40"/>
      <c r="M367" s="41"/>
      <c r="N367" s="41"/>
      <c r="O367" s="41" t="s">
        <v>78</v>
      </c>
      <c r="P367" s="41" t="s">
        <v>78</v>
      </c>
      <c r="Q367" s="41"/>
      <c r="R367" s="41"/>
    </row>
    <row r="368">
      <c r="F368" s="40"/>
      <c r="H368" s="40"/>
      <c r="I368" s="57"/>
      <c r="J368" s="43"/>
      <c r="K368" s="40"/>
      <c r="L368" s="40"/>
      <c r="M368" s="41"/>
      <c r="N368" s="41"/>
      <c r="O368" s="41" t="s">
        <v>78</v>
      </c>
      <c r="P368" s="41" t="s">
        <v>78</v>
      </c>
      <c r="Q368" s="41"/>
      <c r="R368" s="41"/>
    </row>
    <row r="369">
      <c r="F369" s="40"/>
      <c r="H369" s="40"/>
      <c r="I369" s="57"/>
      <c r="J369" s="43"/>
      <c r="K369" s="40"/>
      <c r="L369" s="40"/>
      <c r="M369" s="41"/>
      <c r="N369" s="41"/>
      <c r="O369" s="41" t="s">
        <v>78</v>
      </c>
      <c r="P369" s="41" t="s">
        <v>78</v>
      </c>
      <c r="Q369" s="41"/>
      <c r="R369" s="41"/>
    </row>
    <row r="370">
      <c r="F370" s="40"/>
      <c r="H370" s="40"/>
      <c r="I370" s="57"/>
      <c r="J370" s="43"/>
      <c r="K370" s="40"/>
      <c r="L370" s="40"/>
      <c r="M370" s="41"/>
      <c r="N370" s="41"/>
      <c r="O370" s="41" t="s">
        <v>78</v>
      </c>
      <c r="P370" s="41" t="s">
        <v>78</v>
      </c>
      <c r="Q370" s="41"/>
      <c r="R370" s="41"/>
    </row>
    <row r="371">
      <c r="F371" s="40"/>
      <c r="H371" s="40"/>
      <c r="I371" s="57"/>
      <c r="J371" s="43"/>
      <c r="K371" s="40"/>
      <c r="L371" s="40"/>
      <c r="M371" s="41"/>
      <c r="N371" s="41"/>
      <c r="O371" s="41" t="s">
        <v>78</v>
      </c>
      <c r="P371" s="41" t="s">
        <v>78</v>
      </c>
      <c r="Q371" s="41"/>
      <c r="R371" s="41"/>
    </row>
    <row r="372">
      <c r="F372" s="40"/>
      <c r="H372" s="40"/>
      <c r="I372" s="57"/>
      <c r="J372" s="43"/>
      <c r="K372" s="40"/>
      <c r="L372" s="40"/>
      <c r="M372" s="41"/>
      <c r="N372" s="41"/>
      <c r="O372" s="41" t="s">
        <v>78</v>
      </c>
      <c r="P372" s="41" t="s">
        <v>78</v>
      </c>
      <c r="Q372" s="41"/>
      <c r="R372" s="41"/>
    </row>
    <row r="373">
      <c r="F373" s="40"/>
      <c r="H373" s="40"/>
      <c r="I373" s="57"/>
      <c r="J373" s="43"/>
      <c r="K373" s="40"/>
      <c r="L373" s="40"/>
      <c r="M373" s="41"/>
      <c r="N373" s="41"/>
      <c r="O373" s="41" t="s">
        <v>78</v>
      </c>
      <c r="P373" s="41" t="s">
        <v>78</v>
      </c>
      <c r="Q373" s="41"/>
      <c r="R373" s="41"/>
    </row>
    <row r="374">
      <c r="F374" s="40"/>
      <c r="H374" s="40"/>
      <c r="I374" s="57"/>
      <c r="J374" s="43"/>
      <c r="K374" s="40"/>
      <c r="L374" s="40"/>
      <c r="M374" s="41"/>
      <c r="N374" s="41"/>
      <c r="O374" s="41" t="s">
        <v>78</v>
      </c>
      <c r="P374" s="41" t="s">
        <v>78</v>
      </c>
      <c r="Q374" s="41"/>
      <c r="R374" s="41"/>
    </row>
    <row r="375">
      <c r="F375" s="40"/>
      <c r="H375" s="40"/>
      <c r="I375" s="57"/>
      <c r="J375" s="43"/>
      <c r="K375" s="40"/>
      <c r="L375" s="40"/>
      <c r="M375" s="41"/>
      <c r="N375" s="41"/>
      <c r="O375" s="41" t="s">
        <v>78</v>
      </c>
      <c r="P375" s="41" t="s">
        <v>78</v>
      </c>
      <c r="Q375" s="41"/>
      <c r="R375" s="41"/>
    </row>
    <row r="376">
      <c r="F376" s="40"/>
      <c r="H376" s="40"/>
      <c r="I376" s="57"/>
      <c r="J376" s="43"/>
      <c r="K376" s="40"/>
      <c r="L376" s="40"/>
      <c r="M376" s="41"/>
      <c r="N376" s="41"/>
      <c r="O376" s="41" t="s">
        <v>78</v>
      </c>
      <c r="P376" s="41" t="s">
        <v>78</v>
      </c>
      <c r="Q376" s="41"/>
      <c r="R376" s="41"/>
    </row>
    <row r="377">
      <c r="F377" s="40"/>
      <c r="H377" s="40"/>
      <c r="I377" s="57"/>
      <c r="J377" s="43"/>
      <c r="K377" s="40"/>
      <c r="L377" s="40"/>
      <c r="M377" s="41"/>
      <c r="N377" s="41"/>
      <c r="O377" s="41" t="s">
        <v>78</v>
      </c>
      <c r="P377" s="41" t="s">
        <v>78</v>
      </c>
      <c r="Q377" s="41"/>
      <c r="R377" s="41"/>
    </row>
    <row r="378">
      <c r="F378" s="40"/>
      <c r="H378" s="40"/>
      <c r="I378" s="57"/>
      <c r="J378" s="43"/>
      <c r="K378" s="40"/>
      <c r="L378" s="40"/>
      <c r="M378" s="41"/>
      <c r="N378" s="41"/>
      <c r="O378" s="41" t="s">
        <v>78</v>
      </c>
      <c r="P378" s="41" t="s">
        <v>78</v>
      </c>
      <c r="Q378" s="41"/>
      <c r="R378" s="41"/>
    </row>
    <row r="379">
      <c r="F379" s="40"/>
      <c r="H379" s="40"/>
      <c r="I379" s="57"/>
      <c r="J379" s="43"/>
      <c r="K379" s="40"/>
      <c r="L379" s="40"/>
      <c r="M379" s="41"/>
      <c r="N379" s="41"/>
      <c r="O379" s="41" t="s">
        <v>78</v>
      </c>
      <c r="P379" s="41" t="s">
        <v>78</v>
      </c>
      <c r="Q379" s="41"/>
      <c r="R379" s="41"/>
    </row>
    <row r="380">
      <c r="F380" s="40"/>
      <c r="H380" s="40"/>
      <c r="I380" s="57"/>
      <c r="J380" s="43"/>
      <c r="K380" s="40"/>
      <c r="L380" s="40"/>
      <c r="M380" s="41"/>
      <c r="N380" s="41"/>
      <c r="O380" s="41" t="s">
        <v>78</v>
      </c>
      <c r="P380" s="41" t="s">
        <v>78</v>
      </c>
      <c r="Q380" s="41"/>
      <c r="R380" s="41"/>
    </row>
    <row r="381">
      <c r="F381" s="40"/>
      <c r="H381" s="40"/>
      <c r="I381" s="57"/>
      <c r="J381" s="43"/>
      <c r="K381" s="40"/>
      <c r="L381" s="40"/>
      <c r="M381" s="41"/>
      <c r="N381" s="41"/>
      <c r="O381" s="41" t="s">
        <v>78</v>
      </c>
      <c r="P381" s="41" t="s">
        <v>78</v>
      </c>
      <c r="Q381" s="41"/>
      <c r="R381" s="41"/>
    </row>
    <row r="382">
      <c r="F382" s="40"/>
      <c r="H382" s="40"/>
      <c r="I382" s="57"/>
      <c r="J382" s="43"/>
      <c r="K382" s="40"/>
      <c r="L382" s="40"/>
      <c r="M382" s="41"/>
      <c r="N382" s="41"/>
      <c r="O382" s="41" t="s">
        <v>78</v>
      </c>
      <c r="P382" s="41" t="s">
        <v>78</v>
      </c>
      <c r="Q382" s="41"/>
      <c r="R382" s="41"/>
    </row>
    <row r="383">
      <c r="F383" s="40"/>
      <c r="H383" s="40"/>
      <c r="I383" s="57"/>
      <c r="J383" s="43"/>
      <c r="K383" s="40"/>
      <c r="L383" s="40"/>
      <c r="M383" s="41"/>
      <c r="N383" s="41"/>
      <c r="O383" s="41" t="s">
        <v>78</v>
      </c>
      <c r="P383" s="41" t="s">
        <v>78</v>
      </c>
      <c r="Q383" s="41"/>
      <c r="R383" s="41"/>
    </row>
    <row r="384">
      <c r="F384" s="40"/>
      <c r="H384" s="40"/>
      <c r="I384" s="57"/>
      <c r="J384" s="43"/>
      <c r="K384" s="40"/>
      <c r="L384" s="40"/>
      <c r="M384" s="41"/>
      <c r="N384" s="41"/>
      <c r="O384" s="41" t="s">
        <v>78</v>
      </c>
      <c r="P384" s="41" t="s">
        <v>78</v>
      </c>
      <c r="Q384" s="41"/>
      <c r="R384" s="41"/>
    </row>
    <row r="385">
      <c r="F385" s="40"/>
      <c r="H385" s="40"/>
      <c r="I385" s="57"/>
      <c r="J385" s="43"/>
      <c r="K385" s="40"/>
      <c r="L385" s="40"/>
      <c r="M385" s="41"/>
      <c r="N385" s="41"/>
      <c r="O385" s="41" t="s">
        <v>78</v>
      </c>
      <c r="P385" s="41" t="s">
        <v>78</v>
      </c>
      <c r="Q385" s="41"/>
      <c r="R385" s="41"/>
    </row>
    <row r="386">
      <c r="F386" s="40"/>
      <c r="H386" s="40"/>
      <c r="I386" s="57"/>
      <c r="J386" s="43"/>
      <c r="K386" s="40"/>
      <c r="L386" s="40"/>
      <c r="M386" s="41"/>
      <c r="N386" s="41"/>
      <c r="O386" s="41" t="s">
        <v>78</v>
      </c>
      <c r="P386" s="41" t="s">
        <v>78</v>
      </c>
      <c r="Q386" s="41"/>
      <c r="R386" s="41"/>
    </row>
    <row r="387">
      <c r="F387" s="40"/>
      <c r="H387" s="40"/>
      <c r="I387" s="57"/>
      <c r="J387" s="43"/>
      <c r="K387" s="40"/>
      <c r="L387" s="40"/>
      <c r="M387" s="41"/>
      <c r="N387" s="41"/>
      <c r="O387" s="41" t="s">
        <v>78</v>
      </c>
      <c r="P387" s="41" t="s">
        <v>78</v>
      </c>
      <c r="Q387" s="41"/>
      <c r="R387" s="41"/>
    </row>
    <row r="388">
      <c r="F388" s="40"/>
      <c r="H388" s="40"/>
      <c r="I388" s="57"/>
      <c r="J388" s="43"/>
      <c r="K388" s="40"/>
      <c r="L388" s="40"/>
      <c r="M388" s="41"/>
      <c r="N388" s="41"/>
      <c r="O388" s="41" t="s">
        <v>78</v>
      </c>
      <c r="P388" s="41" t="s">
        <v>78</v>
      </c>
      <c r="Q388" s="41"/>
      <c r="R388" s="41"/>
    </row>
    <row r="389">
      <c r="F389" s="40"/>
      <c r="H389" s="40"/>
      <c r="I389" s="57"/>
      <c r="J389" s="43"/>
      <c r="K389" s="40"/>
      <c r="L389" s="40"/>
      <c r="M389" s="41"/>
      <c r="N389" s="41"/>
      <c r="O389" s="41" t="s">
        <v>78</v>
      </c>
      <c r="P389" s="41" t="s">
        <v>78</v>
      </c>
      <c r="Q389" s="41"/>
      <c r="R389" s="41"/>
    </row>
    <row r="390">
      <c r="F390" s="40"/>
      <c r="H390" s="40"/>
      <c r="I390" s="57"/>
      <c r="J390" s="43"/>
      <c r="K390" s="40"/>
      <c r="L390" s="40"/>
      <c r="M390" s="41"/>
      <c r="N390" s="41"/>
      <c r="O390" s="41" t="s">
        <v>78</v>
      </c>
      <c r="P390" s="41" t="s">
        <v>78</v>
      </c>
      <c r="Q390" s="41"/>
      <c r="R390" s="41"/>
    </row>
    <row r="391">
      <c r="F391" s="40"/>
      <c r="H391" s="40"/>
      <c r="I391" s="57"/>
      <c r="J391" s="43"/>
      <c r="K391" s="40"/>
      <c r="L391" s="40"/>
      <c r="M391" s="41"/>
      <c r="N391" s="41"/>
      <c r="O391" s="41" t="s">
        <v>78</v>
      </c>
      <c r="P391" s="41" t="s">
        <v>78</v>
      </c>
      <c r="Q391" s="41"/>
      <c r="R391" s="41"/>
    </row>
    <row r="392">
      <c r="F392" s="40"/>
      <c r="H392" s="40"/>
      <c r="I392" s="57"/>
      <c r="J392" s="43"/>
      <c r="K392" s="40"/>
      <c r="L392" s="40"/>
      <c r="M392" s="41"/>
      <c r="N392" s="41"/>
      <c r="O392" s="41" t="s">
        <v>78</v>
      </c>
      <c r="P392" s="41" t="s">
        <v>78</v>
      </c>
      <c r="Q392" s="41"/>
      <c r="R392" s="41"/>
    </row>
    <row r="393">
      <c r="F393" s="40"/>
      <c r="H393" s="40"/>
      <c r="I393" s="57"/>
      <c r="J393" s="43"/>
      <c r="K393" s="40"/>
      <c r="L393" s="40"/>
      <c r="M393" s="41"/>
      <c r="N393" s="41"/>
      <c r="O393" s="41" t="s">
        <v>78</v>
      </c>
      <c r="P393" s="41" t="s">
        <v>78</v>
      </c>
      <c r="Q393" s="41"/>
      <c r="R393" s="41"/>
    </row>
    <row r="394">
      <c r="F394" s="40"/>
      <c r="H394" s="40"/>
      <c r="I394" s="57"/>
      <c r="J394" s="43"/>
      <c r="K394" s="40"/>
      <c r="L394" s="40"/>
      <c r="M394" s="41"/>
      <c r="N394" s="41"/>
      <c r="O394" s="41" t="s">
        <v>78</v>
      </c>
      <c r="P394" s="41" t="s">
        <v>78</v>
      </c>
      <c r="Q394" s="41"/>
      <c r="R394" s="41"/>
    </row>
    <row r="395">
      <c r="F395" s="40"/>
      <c r="H395" s="40"/>
      <c r="I395" s="57"/>
      <c r="J395" s="43"/>
      <c r="K395" s="40"/>
      <c r="L395" s="40"/>
      <c r="M395" s="41"/>
      <c r="N395" s="41"/>
      <c r="O395" s="41" t="s">
        <v>78</v>
      </c>
      <c r="P395" s="41" t="s">
        <v>78</v>
      </c>
      <c r="Q395" s="41"/>
      <c r="R395" s="41"/>
    </row>
    <row r="396">
      <c r="F396" s="40"/>
      <c r="H396" s="40"/>
      <c r="I396" s="57"/>
      <c r="J396" s="43"/>
      <c r="K396" s="40"/>
      <c r="L396" s="40"/>
      <c r="M396" s="41"/>
      <c r="N396" s="41"/>
      <c r="O396" s="41" t="s">
        <v>78</v>
      </c>
      <c r="P396" s="41" t="s">
        <v>78</v>
      </c>
      <c r="Q396" s="41"/>
      <c r="R396" s="41"/>
    </row>
    <row r="397">
      <c r="F397" s="40"/>
      <c r="H397" s="40"/>
      <c r="I397" s="57"/>
      <c r="J397" s="43"/>
      <c r="K397" s="40"/>
      <c r="L397" s="40"/>
      <c r="M397" s="41"/>
      <c r="N397" s="41"/>
      <c r="O397" s="41" t="s">
        <v>78</v>
      </c>
      <c r="P397" s="41" t="s">
        <v>78</v>
      </c>
      <c r="Q397" s="41"/>
      <c r="R397" s="41"/>
    </row>
    <row r="398">
      <c r="F398" s="40"/>
      <c r="H398" s="40"/>
      <c r="I398" s="57"/>
      <c r="J398" s="43"/>
      <c r="K398" s="40"/>
      <c r="L398" s="40"/>
      <c r="M398" s="41"/>
      <c r="N398" s="41"/>
      <c r="O398" s="41" t="s">
        <v>78</v>
      </c>
      <c r="P398" s="41" t="s">
        <v>78</v>
      </c>
      <c r="Q398" s="41"/>
      <c r="R398" s="41"/>
    </row>
    <row r="399">
      <c r="F399" s="40"/>
      <c r="H399" s="40"/>
      <c r="I399" s="57"/>
      <c r="J399" s="43"/>
      <c r="K399" s="40"/>
      <c r="L399" s="40"/>
      <c r="M399" s="41"/>
      <c r="N399" s="41"/>
      <c r="O399" s="41" t="s">
        <v>78</v>
      </c>
      <c r="P399" s="41" t="s">
        <v>78</v>
      </c>
      <c r="Q399" s="41"/>
      <c r="R399" s="41"/>
    </row>
    <row r="400">
      <c r="F400" s="40"/>
      <c r="H400" s="40"/>
      <c r="I400" s="57"/>
      <c r="J400" s="43"/>
      <c r="K400" s="40"/>
      <c r="L400" s="40"/>
      <c r="M400" s="41"/>
      <c r="N400" s="41"/>
      <c r="O400" s="41" t="s">
        <v>78</v>
      </c>
      <c r="P400" s="41" t="s">
        <v>78</v>
      </c>
      <c r="Q400" s="41"/>
      <c r="R400" s="41"/>
    </row>
    <row r="401">
      <c r="F401" s="40"/>
      <c r="H401" s="40"/>
      <c r="I401" s="57"/>
      <c r="J401" s="43"/>
      <c r="K401" s="40"/>
      <c r="L401" s="40"/>
      <c r="M401" s="41"/>
      <c r="N401" s="41"/>
      <c r="O401" s="41" t="s">
        <v>78</v>
      </c>
      <c r="P401" s="41" t="s">
        <v>78</v>
      </c>
      <c r="Q401" s="41"/>
      <c r="R401" s="41"/>
    </row>
    <row r="402">
      <c r="F402" s="40"/>
      <c r="H402" s="40"/>
      <c r="I402" s="57"/>
      <c r="J402" s="43"/>
      <c r="K402" s="40"/>
      <c r="L402" s="40"/>
      <c r="M402" s="41"/>
      <c r="N402" s="41"/>
      <c r="O402" s="41" t="s">
        <v>78</v>
      </c>
      <c r="P402" s="41" t="s">
        <v>78</v>
      </c>
      <c r="Q402" s="41"/>
      <c r="R402" s="41"/>
    </row>
    <row r="403">
      <c r="F403" s="40"/>
      <c r="H403" s="40"/>
      <c r="I403" s="57"/>
      <c r="J403" s="43"/>
      <c r="K403" s="40"/>
      <c r="L403" s="40"/>
      <c r="M403" s="41"/>
      <c r="N403" s="41"/>
      <c r="O403" s="41" t="s">
        <v>78</v>
      </c>
      <c r="P403" s="41" t="s">
        <v>78</v>
      </c>
      <c r="Q403" s="41"/>
      <c r="R403" s="41"/>
    </row>
    <row r="404">
      <c r="F404" s="40"/>
      <c r="H404" s="40"/>
      <c r="I404" s="57"/>
      <c r="J404" s="43"/>
      <c r="K404" s="40"/>
      <c r="L404" s="40"/>
      <c r="M404" s="41"/>
      <c r="N404" s="41"/>
      <c r="O404" s="41" t="s">
        <v>78</v>
      </c>
      <c r="P404" s="41" t="s">
        <v>78</v>
      </c>
      <c r="Q404" s="41"/>
      <c r="R404" s="41"/>
    </row>
    <row r="405">
      <c r="F405" s="40"/>
      <c r="H405" s="40"/>
      <c r="I405" s="57"/>
      <c r="J405" s="43"/>
      <c r="K405" s="40"/>
      <c r="L405" s="40"/>
      <c r="M405" s="41"/>
      <c r="N405" s="41"/>
      <c r="O405" s="41" t="s">
        <v>78</v>
      </c>
      <c r="P405" s="41" t="s">
        <v>78</v>
      </c>
      <c r="Q405" s="41"/>
      <c r="R405" s="41"/>
    </row>
    <row r="406">
      <c r="F406" s="40"/>
      <c r="H406" s="40"/>
      <c r="I406" s="57"/>
      <c r="J406" s="43"/>
      <c r="K406" s="40"/>
      <c r="L406" s="40"/>
      <c r="M406" s="41"/>
      <c r="N406" s="41"/>
      <c r="O406" s="41" t="s">
        <v>78</v>
      </c>
      <c r="P406" s="41" t="s">
        <v>78</v>
      </c>
      <c r="Q406" s="41"/>
      <c r="R406" s="41"/>
    </row>
    <row r="407">
      <c r="F407" s="40"/>
      <c r="H407" s="40"/>
      <c r="I407" s="57"/>
      <c r="J407" s="43"/>
      <c r="K407" s="40"/>
      <c r="L407" s="40"/>
      <c r="M407" s="41"/>
      <c r="N407" s="41"/>
      <c r="O407" s="41" t="s">
        <v>78</v>
      </c>
      <c r="P407" s="41" t="s">
        <v>78</v>
      </c>
      <c r="Q407" s="41"/>
      <c r="R407" s="41"/>
    </row>
    <row r="408">
      <c r="F408" s="40"/>
      <c r="H408" s="40"/>
      <c r="I408" s="57"/>
      <c r="J408" s="43"/>
      <c r="K408" s="40"/>
      <c r="L408" s="40"/>
      <c r="M408" s="41"/>
      <c r="N408" s="41"/>
      <c r="O408" s="41" t="s">
        <v>78</v>
      </c>
      <c r="P408" s="41" t="s">
        <v>78</v>
      </c>
      <c r="Q408" s="41"/>
      <c r="R408" s="41"/>
    </row>
    <row r="409">
      <c r="F409" s="40"/>
      <c r="H409" s="40"/>
      <c r="I409" s="57"/>
      <c r="J409" s="43"/>
      <c r="K409" s="40"/>
      <c r="L409" s="40"/>
      <c r="M409" s="41"/>
      <c r="N409" s="41"/>
      <c r="O409" s="41" t="s">
        <v>78</v>
      </c>
      <c r="P409" s="41" t="s">
        <v>78</v>
      </c>
      <c r="Q409" s="41"/>
      <c r="R409" s="41"/>
    </row>
    <row r="410">
      <c r="F410" s="40"/>
      <c r="H410" s="40"/>
      <c r="I410" s="57"/>
      <c r="J410" s="43"/>
      <c r="K410" s="40"/>
      <c r="L410" s="40"/>
      <c r="M410" s="41"/>
      <c r="N410" s="41"/>
      <c r="O410" s="41" t="s">
        <v>78</v>
      </c>
      <c r="P410" s="41" t="s">
        <v>78</v>
      </c>
      <c r="Q410" s="41"/>
      <c r="R410" s="41"/>
    </row>
    <row r="411">
      <c r="F411" s="40"/>
      <c r="H411" s="40"/>
      <c r="I411" s="57"/>
      <c r="J411" s="43"/>
      <c r="K411" s="40"/>
      <c r="L411" s="40"/>
      <c r="M411" s="41"/>
      <c r="N411" s="41"/>
      <c r="O411" s="41" t="s">
        <v>78</v>
      </c>
      <c r="P411" s="41" t="s">
        <v>78</v>
      </c>
      <c r="Q411" s="41"/>
      <c r="R411" s="41"/>
    </row>
    <row r="412">
      <c r="F412" s="40"/>
      <c r="H412" s="40"/>
      <c r="I412" s="57"/>
      <c r="J412" s="43"/>
      <c r="K412" s="40"/>
      <c r="L412" s="40"/>
      <c r="M412" s="41"/>
      <c r="N412" s="41"/>
      <c r="O412" s="41" t="s">
        <v>78</v>
      </c>
      <c r="P412" s="41" t="s">
        <v>78</v>
      </c>
      <c r="Q412" s="41"/>
      <c r="R412" s="41"/>
    </row>
    <row r="413">
      <c r="F413" s="40"/>
      <c r="H413" s="40"/>
      <c r="I413" s="57"/>
      <c r="J413" s="43"/>
      <c r="K413" s="40"/>
      <c r="L413" s="40"/>
      <c r="M413" s="41"/>
      <c r="N413" s="41"/>
      <c r="O413" s="41" t="s">
        <v>78</v>
      </c>
      <c r="P413" s="41" t="s">
        <v>78</v>
      </c>
      <c r="Q413" s="41"/>
      <c r="R413" s="41"/>
    </row>
    <row r="414">
      <c r="F414" s="40"/>
      <c r="H414" s="40"/>
      <c r="I414" s="57"/>
      <c r="J414" s="43"/>
      <c r="K414" s="40"/>
      <c r="L414" s="40"/>
      <c r="M414" s="41"/>
      <c r="N414" s="41"/>
      <c r="O414" s="41" t="s">
        <v>78</v>
      </c>
      <c r="P414" s="41" t="s">
        <v>78</v>
      </c>
      <c r="Q414" s="41"/>
      <c r="R414" s="41"/>
    </row>
    <row r="415">
      <c r="F415" s="40"/>
      <c r="H415" s="40"/>
      <c r="I415" s="57"/>
      <c r="J415" s="43"/>
      <c r="K415" s="40"/>
      <c r="L415" s="40"/>
      <c r="M415" s="41"/>
      <c r="N415" s="41"/>
      <c r="O415" s="41" t="s">
        <v>78</v>
      </c>
      <c r="P415" s="41" t="s">
        <v>78</v>
      </c>
      <c r="Q415" s="41"/>
      <c r="R415" s="41"/>
    </row>
    <row r="416">
      <c r="F416" s="40"/>
      <c r="H416" s="40"/>
      <c r="I416" s="57"/>
      <c r="J416" s="43"/>
      <c r="K416" s="40"/>
      <c r="L416" s="40"/>
      <c r="M416" s="41"/>
      <c r="N416" s="41"/>
      <c r="O416" s="41" t="s">
        <v>78</v>
      </c>
      <c r="P416" s="41" t="s">
        <v>78</v>
      </c>
      <c r="Q416" s="41"/>
      <c r="R416" s="41"/>
    </row>
    <row r="417">
      <c r="F417" s="40"/>
      <c r="H417" s="40"/>
      <c r="I417" s="57"/>
      <c r="J417" s="43"/>
      <c r="K417" s="40"/>
      <c r="L417" s="40"/>
      <c r="M417" s="41"/>
      <c r="N417" s="41"/>
      <c r="O417" s="41" t="s">
        <v>78</v>
      </c>
      <c r="P417" s="41" t="s">
        <v>78</v>
      </c>
      <c r="Q417" s="41"/>
      <c r="R417" s="41"/>
    </row>
    <row r="418">
      <c r="F418" s="40"/>
      <c r="H418" s="40"/>
      <c r="I418" s="57"/>
      <c r="J418" s="43"/>
      <c r="K418" s="40"/>
      <c r="L418" s="40"/>
      <c r="M418" s="41"/>
      <c r="N418" s="41"/>
      <c r="O418" s="41" t="s">
        <v>78</v>
      </c>
      <c r="P418" s="41" t="s">
        <v>78</v>
      </c>
      <c r="Q418" s="41"/>
      <c r="R418" s="41"/>
    </row>
    <row r="419">
      <c r="F419" s="40"/>
      <c r="H419" s="40"/>
      <c r="I419" s="57"/>
      <c r="J419" s="43"/>
      <c r="K419" s="40"/>
      <c r="L419" s="40"/>
      <c r="M419" s="41"/>
      <c r="N419" s="41"/>
      <c r="O419" s="41" t="s">
        <v>78</v>
      </c>
      <c r="P419" s="41" t="s">
        <v>78</v>
      </c>
      <c r="Q419" s="41"/>
      <c r="R419" s="41"/>
    </row>
    <row r="420">
      <c r="F420" s="40"/>
      <c r="H420" s="40"/>
      <c r="I420" s="57"/>
      <c r="J420" s="43"/>
      <c r="K420" s="40"/>
      <c r="L420" s="40"/>
      <c r="M420" s="41"/>
      <c r="N420" s="41"/>
      <c r="O420" s="41" t="s">
        <v>78</v>
      </c>
      <c r="P420" s="41" t="s">
        <v>78</v>
      </c>
      <c r="Q420" s="41"/>
      <c r="R420" s="41"/>
    </row>
    <row r="421">
      <c r="F421" s="40"/>
      <c r="H421" s="40"/>
      <c r="I421" s="57"/>
      <c r="J421" s="43"/>
      <c r="K421" s="40"/>
      <c r="L421" s="40"/>
      <c r="M421" s="41"/>
      <c r="N421" s="41"/>
      <c r="O421" s="41" t="s">
        <v>78</v>
      </c>
      <c r="P421" s="41" t="s">
        <v>78</v>
      </c>
      <c r="Q421" s="41"/>
      <c r="R421" s="41"/>
    </row>
    <row r="422">
      <c r="F422" s="40"/>
      <c r="H422" s="40"/>
      <c r="I422" s="57"/>
      <c r="J422" s="43"/>
      <c r="K422" s="40"/>
      <c r="L422" s="40"/>
      <c r="M422" s="41"/>
      <c r="N422" s="41"/>
      <c r="O422" s="41" t="s">
        <v>78</v>
      </c>
      <c r="P422" s="41" t="s">
        <v>78</v>
      </c>
      <c r="Q422" s="41"/>
      <c r="R422" s="41"/>
    </row>
    <row r="423">
      <c r="F423" s="40"/>
      <c r="H423" s="40"/>
      <c r="I423" s="57"/>
      <c r="J423" s="43"/>
      <c r="K423" s="40"/>
      <c r="L423" s="40"/>
      <c r="M423" s="41"/>
      <c r="N423" s="41"/>
      <c r="O423" s="41" t="s">
        <v>78</v>
      </c>
      <c r="P423" s="41" t="s">
        <v>78</v>
      </c>
      <c r="Q423" s="41"/>
      <c r="R423" s="41"/>
    </row>
    <row r="424">
      <c r="F424" s="40"/>
      <c r="H424" s="40"/>
      <c r="I424" s="57"/>
      <c r="J424" s="43"/>
      <c r="K424" s="40"/>
      <c r="L424" s="40"/>
      <c r="M424" s="41"/>
      <c r="N424" s="41"/>
      <c r="O424" s="41" t="s">
        <v>78</v>
      </c>
      <c r="P424" s="41" t="s">
        <v>78</v>
      </c>
      <c r="Q424" s="41"/>
      <c r="R424" s="41"/>
    </row>
    <row r="425">
      <c r="F425" s="40"/>
      <c r="H425" s="40"/>
      <c r="I425" s="57"/>
      <c r="J425" s="43"/>
      <c r="K425" s="40"/>
      <c r="L425" s="40"/>
      <c r="M425" s="41"/>
      <c r="N425" s="41"/>
      <c r="O425" s="41" t="s">
        <v>78</v>
      </c>
      <c r="P425" s="41" t="s">
        <v>78</v>
      </c>
      <c r="Q425" s="41"/>
      <c r="R425" s="41"/>
    </row>
    <row r="426">
      <c r="F426" s="40"/>
      <c r="H426" s="40"/>
      <c r="I426" s="57"/>
      <c r="J426" s="43"/>
      <c r="K426" s="40"/>
      <c r="L426" s="40"/>
      <c r="M426" s="41"/>
      <c r="N426" s="41"/>
      <c r="O426" s="41" t="s">
        <v>78</v>
      </c>
      <c r="P426" s="41" t="s">
        <v>78</v>
      </c>
      <c r="Q426" s="41"/>
      <c r="R426" s="41"/>
    </row>
    <row r="427">
      <c r="F427" s="40"/>
      <c r="H427" s="40"/>
      <c r="I427" s="57"/>
      <c r="J427" s="43"/>
      <c r="K427" s="40"/>
      <c r="L427" s="40"/>
      <c r="M427" s="41"/>
      <c r="N427" s="41"/>
      <c r="O427" s="41" t="s">
        <v>78</v>
      </c>
      <c r="P427" s="41" t="s">
        <v>78</v>
      </c>
      <c r="Q427" s="41"/>
      <c r="R427" s="41"/>
    </row>
    <row r="428">
      <c r="F428" s="40"/>
      <c r="H428" s="40"/>
      <c r="I428" s="57"/>
      <c r="J428" s="43"/>
      <c r="K428" s="40"/>
      <c r="L428" s="40"/>
      <c r="M428" s="41"/>
      <c r="N428" s="41"/>
      <c r="O428" s="41" t="s">
        <v>78</v>
      </c>
      <c r="P428" s="41" t="s">
        <v>78</v>
      </c>
      <c r="Q428" s="41"/>
      <c r="R428" s="41"/>
    </row>
    <row r="429">
      <c r="F429" s="40"/>
      <c r="H429" s="40"/>
      <c r="I429" s="57"/>
      <c r="J429" s="43"/>
      <c r="K429" s="40"/>
      <c r="L429" s="40"/>
      <c r="M429" s="41"/>
      <c r="N429" s="41"/>
      <c r="O429" s="41" t="s">
        <v>78</v>
      </c>
      <c r="P429" s="41" t="s">
        <v>78</v>
      </c>
      <c r="Q429" s="41"/>
      <c r="R429" s="41"/>
    </row>
    <row r="430">
      <c r="F430" s="40"/>
      <c r="H430" s="40"/>
      <c r="I430" s="57"/>
      <c r="J430" s="43"/>
      <c r="K430" s="40"/>
      <c r="L430" s="40"/>
      <c r="M430" s="41"/>
      <c r="N430" s="41"/>
      <c r="O430" s="41" t="s">
        <v>78</v>
      </c>
      <c r="P430" s="41" t="s">
        <v>78</v>
      </c>
      <c r="Q430" s="41"/>
      <c r="R430" s="41"/>
    </row>
    <row r="431">
      <c r="F431" s="40"/>
      <c r="H431" s="40"/>
      <c r="I431" s="57"/>
      <c r="J431" s="43"/>
      <c r="K431" s="40"/>
      <c r="L431" s="40"/>
      <c r="M431" s="41"/>
      <c r="N431" s="41"/>
      <c r="O431" s="41" t="s">
        <v>78</v>
      </c>
      <c r="P431" s="41" t="s">
        <v>78</v>
      </c>
      <c r="Q431" s="41"/>
      <c r="R431" s="41"/>
    </row>
    <row r="432">
      <c r="F432" s="40"/>
      <c r="H432" s="40"/>
      <c r="I432" s="57"/>
      <c r="J432" s="43"/>
      <c r="K432" s="40"/>
      <c r="L432" s="40"/>
      <c r="M432" s="41"/>
      <c r="N432" s="41"/>
      <c r="O432" s="41" t="s">
        <v>78</v>
      </c>
      <c r="P432" s="41" t="s">
        <v>78</v>
      </c>
      <c r="Q432" s="41"/>
      <c r="R432" s="41"/>
    </row>
    <row r="433">
      <c r="F433" s="40"/>
      <c r="H433" s="40"/>
      <c r="I433" s="57"/>
      <c r="J433" s="43"/>
      <c r="K433" s="40"/>
      <c r="L433" s="40"/>
      <c r="M433" s="41"/>
      <c r="N433" s="41"/>
      <c r="O433" s="41" t="s">
        <v>78</v>
      </c>
      <c r="P433" s="41" t="s">
        <v>78</v>
      </c>
      <c r="Q433" s="41"/>
      <c r="R433" s="41"/>
    </row>
    <row r="434">
      <c r="F434" s="40"/>
      <c r="H434" s="40"/>
      <c r="I434" s="57"/>
      <c r="J434" s="43"/>
      <c r="K434" s="40"/>
      <c r="L434" s="40"/>
      <c r="M434" s="41"/>
      <c r="N434" s="41"/>
      <c r="O434" s="41" t="s">
        <v>78</v>
      </c>
      <c r="P434" s="41" t="s">
        <v>78</v>
      </c>
      <c r="Q434" s="41"/>
      <c r="R434" s="41"/>
    </row>
    <row r="435">
      <c r="F435" s="40"/>
      <c r="H435" s="40"/>
      <c r="I435" s="57"/>
      <c r="J435" s="43"/>
      <c r="K435" s="40"/>
      <c r="L435" s="40"/>
      <c r="M435" s="41"/>
      <c r="N435" s="41"/>
      <c r="O435" s="41" t="s">
        <v>78</v>
      </c>
      <c r="P435" s="41" t="s">
        <v>78</v>
      </c>
      <c r="Q435" s="41"/>
      <c r="R435" s="41"/>
    </row>
    <row r="436">
      <c r="F436" s="40"/>
      <c r="H436" s="40"/>
      <c r="I436" s="57"/>
      <c r="J436" s="43"/>
      <c r="K436" s="40"/>
      <c r="L436" s="40"/>
      <c r="M436" s="41"/>
      <c r="N436" s="41"/>
      <c r="O436" s="41" t="s">
        <v>78</v>
      </c>
      <c r="P436" s="41" t="s">
        <v>78</v>
      </c>
      <c r="Q436" s="41"/>
      <c r="R436" s="41"/>
    </row>
    <row r="437">
      <c r="F437" s="40"/>
      <c r="H437" s="40"/>
      <c r="I437" s="57"/>
      <c r="J437" s="43"/>
      <c r="K437" s="40"/>
      <c r="L437" s="40"/>
      <c r="M437" s="41"/>
      <c r="N437" s="41"/>
      <c r="O437" s="41" t="s">
        <v>78</v>
      </c>
      <c r="P437" s="41" t="s">
        <v>78</v>
      </c>
      <c r="Q437" s="41"/>
      <c r="R437" s="41"/>
    </row>
    <row r="438">
      <c r="F438" s="40"/>
      <c r="H438" s="40"/>
      <c r="I438" s="57"/>
      <c r="J438" s="43"/>
      <c r="K438" s="40"/>
      <c r="L438" s="40"/>
      <c r="M438" s="41"/>
      <c r="N438" s="41"/>
      <c r="O438" s="41" t="s">
        <v>78</v>
      </c>
      <c r="P438" s="41" t="s">
        <v>78</v>
      </c>
      <c r="Q438" s="41"/>
      <c r="R438" s="41"/>
    </row>
    <row r="439">
      <c r="F439" s="40"/>
      <c r="H439" s="40"/>
      <c r="I439" s="57"/>
      <c r="J439" s="43"/>
      <c r="K439" s="40"/>
      <c r="L439" s="40"/>
      <c r="M439" s="41"/>
      <c r="N439" s="41"/>
      <c r="O439" s="41" t="s">
        <v>78</v>
      </c>
      <c r="P439" s="41" t="s">
        <v>78</v>
      </c>
      <c r="Q439" s="41"/>
      <c r="R439" s="41"/>
    </row>
    <row r="440">
      <c r="F440" s="40"/>
      <c r="H440" s="40"/>
      <c r="I440" s="57"/>
      <c r="J440" s="43"/>
      <c r="K440" s="40"/>
      <c r="L440" s="40"/>
      <c r="M440" s="41"/>
      <c r="N440" s="41"/>
      <c r="O440" s="41" t="s">
        <v>78</v>
      </c>
      <c r="P440" s="41" t="s">
        <v>78</v>
      </c>
      <c r="Q440" s="41"/>
      <c r="R440" s="41"/>
    </row>
    <row r="441">
      <c r="F441" s="40"/>
      <c r="H441" s="40"/>
      <c r="I441" s="57"/>
      <c r="J441" s="43"/>
      <c r="K441" s="40"/>
      <c r="L441" s="40"/>
      <c r="M441" s="41"/>
      <c r="N441" s="41"/>
      <c r="O441" s="41" t="s">
        <v>78</v>
      </c>
      <c r="P441" s="41" t="s">
        <v>78</v>
      </c>
      <c r="Q441" s="41"/>
      <c r="R441" s="41"/>
    </row>
    <row r="442">
      <c r="F442" s="40"/>
      <c r="H442" s="40"/>
      <c r="I442" s="57"/>
      <c r="J442" s="43"/>
      <c r="K442" s="40"/>
      <c r="L442" s="40"/>
      <c r="M442" s="41"/>
      <c r="N442" s="41"/>
      <c r="O442" s="41" t="s">
        <v>78</v>
      </c>
      <c r="P442" s="41" t="s">
        <v>78</v>
      </c>
      <c r="Q442" s="41"/>
      <c r="R442" s="41"/>
    </row>
    <row r="443">
      <c r="F443" s="40"/>
      <c r="H443" s="40"/>
      <c r="I443" s="57"/>
      <c r="J443" s="43"/>
      <c r="K443" s="40"/>
      <c r="L443" s="40"/>
      <c r="M443" s="41"/>
      <c r="N443" s="41"/>
      <c r="O443" s="41" t="s">
        <v>78</v>
      </c>
      <c r="P443" s="41" t="s">
        <v>78</v>
      </c>
      <c r="Q443" s="41"/>
      <c r="R443" s="41"/>
    </row>
    <row r="444">
      <c r="F444" s="40"/>
      <c r="H444" s="40"/>
      <c r="I444" s="57"/>
      <c r="J444" s="43"/>
      <c r="K444" s="40"/>
      <c r="L444" s="40"/>
      <c r="M444" s="41"/>
      <c r="N444" s="41"/>
      <c r="O444" s="41" t="s">
        <v>78</v>
      </c>
      <c r="P444" s="41" t="s">
        <v>78</v>
      </c>
      <c r="Q444" s="41"/>
      <c r="R444" s="41"/>
    </row>
    <row r="445">
      <c r="F445" s="40"/>
      <c r="H445" s="40"/>
      <c r="I445" s="57"/>
      <c r="J445" s="43"/>
      <c r="K445" s="40"/>
      <c r="L445" s="40"/>
      <c r="M445" s="41"/>
      <c r="N445" s="41"/>
      <c r="O445" s="41" t="s">
        <v>78</v>
      </c>
      <c r="P445" s="41" t="s">
        <v>78</v>
      </c>
      <c r="Q445" s="41"/>
      <c r="R445" s="41"/>
    </row>
    <row r="446">
      <c r="F446" s="40"/>
      <c r="H446" s="40"/>
      <c r="I446" s="57"/>
      <c r="J446" s="43"/>
      <c r="K446" s="40"/>
      <c r="L446" s="40"/>
      <c r="M446" s="41"/>
      <c r="N446" s="41"/>
      <c r="O446" s="41" t="s">
        <v>78</v>
      </c>
      <c r="P446" s="41" t="s">
        <v>78</v>
      </c>
      <c r="Q446" s="41"/>
      <c r="R446" s="41"/>
    </row>
    <row r="447">
      <c r="F447" s="40"/>
      <c r="H447" s="40"/>
      <c r="I447" s="57"/>
      <c r="J447" s="43"/>
      <c r="K447" s="40"/>
      <c r="L447" s="40"/>
      <c r="M447" s="41"/>
      <c r="N447" s="41"/>
      <c r="O447" s="41" t="s">
        <v>78</v>
      </c>
      <c r="P447" s="41" t="s">
        <v>78</v>
      </c>
      <c r="Q447" s="41"/>
      <c r="R447" s="41"/>
    </row>
    <row r="448">
      <c r="F448" s="40"/>
      <c r="H448" s="40"/>
      <c r="I448" s="57"/>
      <c r="J448" s="43"/>
      <c r="K448" s="40"/>
      <c r="L448" s="40"/>
      <c r="M448" s="41"/>
      <c r="N448" s="41"/>
      <c r="O448" s="41" t="s">
        <v>78</v>
      </c>
      <c r="P448" s="41" t="s">
        <v>78</v>
      </c>
      <c r="Q448" s="41"/>
      <c r="R448" s="41"/>
    </row>
    <row r="449">
      <c r="F449" s="40"/>
      <c r="H449" s="40"/>
      <c r="I449" s="57"/>
      <c r="J449" s="43"/>
      <c r="K449" s="40"/>
      <c r="L449" s="40"/>
      <c r="M449" s="41"/>
      <c r="N449" s="41"/>
      <c r="O449" s="41" t="s">
        <v>78</v>
      </c>
      <c r="P449" s="41" t="s">
        <v>78</v>
      </c>
      <c r="Q449" s="41"/>
      <c r="R449" s="41"/>
    </row>
    <row r="450">
      <c r="F450" s="40"/>
      <c r="H450" s="40"/>
      <c r="I450" s="57"/>
      <c r="J450" s="43"/>
      <c r="K450" s="40"/>
      <c r="L450" s="40"/>
      <c r="M450" s="41"/>
      <c r="N450" s="41"/>
      <c r="O450" s="41" t="s">
        <v>78</v>
      </c>
      <c r="P450" s="41" t="s">
        <v>78</v>
      </c>
      <c r="Q450" s="41"/>
      <c r="R450" s="41"/>
    </row>
    <row r="451">
      <c r="F451" s="40"/>
      <c r="H451" s="40"/>
      <c r="I451" s="57"/>
      <c r="J451" s="43"/>
      <c r="K451" s="40"/>
      <c r="L451" s="40"/>
      <c r="M451" s="41"/>
      <c r="N451" s="41"/>
      <c r="O451" s="41" t="s">
        <v>78</v>
      </c>
      <c r="P451" s="41" t="s">
        <v>78</v>
      </c>
      <c r="Q451" s="41"/>
      <c r="R451" s="41"/>
    </row>
    <row r="452">
      <c r="F452" s="40"/>
      <c r="H452" s="40"/>
      <c r="I452" s="57"/>
      <c r="J452" s="43"/>
      <c r="K452" s="40"/>
      <c r="L452" s="40"/>
      <c r="M452" s="41"/>
      <c r="N452" s="41"/>
      <c r="O452" s="41" t="s">
        <v>78</v>
      </c>
      <c r="P452" s="41" t="s">
        <v>78</v>
      </c>
      <c r="Q452" s="41"/>
      <c r="R452" s="41"/>
    </row>
    <row r="453">
      <c r="F453" s="40"/>
      <c r="H453" s="40"/>
      <c r="I453" s="57"/>
      <c r="J453" s="43"/>
      <c r="K453" s="40"/>
      <c r="L453" s="40"/>
      <c r="M453" s="41"/>
      <c r="N453" s="41"/>
      <c r="O453" s="41" t="s">
        <v>78</v>
      </c>
      <c r="P453" s="41" t="s">
        <v>78</v>
      </c>
      <c r="Q453" s="41"/>
      <c r="R453" s="41"/>
    </row>
    <row r="454">
      <c r="F454" s="40"/>
      <c r="H454" s="40"/>
      <c r="I454" s="57"/>
      <c r="J454" s="43"/>
      <c r="K454" s="40"/>
      <c r="L454" s="40"/>
      <c r="M454" s="41"/>
      <c r="N454" s="41"/>
      <c r="O454" s="41" t="s">
        <v>78</v>
      </c>
      <c r="P454" s="41" t="s">
        <v>78</v>
      </c>
      <c r="Q454" s="41"/>
      <c r="R454" s="41"/>
    </row>
    <row r="455">
      <c r="F455" s="40"/>
      <c r="H455" s="40"/>
      <c r="I455" s="57"/>
      <c r="J455" s="43"/>
      <c r="K455" s="40"/>
      <c r="L455" s="40"/>
      <c r="M455" s="41"/>
      <c r="N455" s="41"/>
      <c r="O455" s="41" t="s">
        <v>78</v>
      </c>
      <c r="P455" s="41" t="s">
        <v>78</v>
      </c>
      <c r="Q455" s="41"/>
      <c r="R455" s="41"/>
    </row>
    <row r="456">
      <c r="F456" s="40"/>
      <c r="H456" s="40"/>
      <c r="I456" s="57"/>
      <c r="J456" s="43"/>
      <c r="K456" s="40"/>
      <c r="L456" s="40"/>
      <c r="M456" s="41"/>
      <c r="N456" s="41"/>
      <c r="O456" s="41" t="s">
        <v>78</v>
      </c>
      <c r="P456" s="41" t="s">
        <v>78</v>
      </c>
      <c r="Q456" s="41"/>
      <c r="R456" s="41"/>
    </row>
    <row r="457">
      <c r="F457" s="40"/>
      <c r="H457" s="40"/>
      <c r="I457" s="57"/>
      <c r="J457" s="43"/>
      <c r="K457" s="40"/>
      <c r="L457" s="40"/>
      <c r="M457" s="41"/>
      <c r="N457" s="41"/>
      <c r="O457" s="41" t="s">
        <v>78</v>
      </c>
      <c r="P457" s="41" t="s">
        <v>78</v>
      </c>
      <c r="Q457" s="41"/>
      <c r="R457" s="41"/>
    </row>
    <row r="458">
      <c r="F458" s="40"/>
      <c r="H458" s="40"/>
      <c r="I458" s="57"/>
      <c r="J458" s="43"/>
      <c r="K458" s="40"/>
      <c r="L458" s="40"/>
      <c r="M458" s="41"/>
      <c r="N458" s="41"/>
      <c r="O458" s="41" t="s">
        <v>78</v>
      </c>
      <c r="P458" s="41" t="s">
        <v>78</v>
      </c>
      <c r="Q458" s="41"/>
      <c r="R458" s="41"/>
    </row>
    <row r="459">
      <c r="F459" s="40"/>
      <c r="H459" s="40"/>
      <c r="I459" s="57"/>
      <c r="J459" s="43"/>
      <c r="K459" s="40"/>
      <c r="L459" s="40"/>
      <c r="M459" s="41"/>
      <c r="N459" s="41"/>
      <c r="O459" s="41" t="s">
        <v>78</v>
      </c>
      <c r="P459" s="41" t="s">
        <v>78</v>
      </c>
      <c r="Q459" s="41"/>
      <c r="R459" s="41"/>
    </row>
    <row r="460">
      <c r="F460" s="40"/>
      <c r="H460" s="40"/>
      <c r="I460" s="57"/>
      <c r="J460" s="43"/>
      <c r="K460" s="40"/>
      <c r="L460" s="40"/>
      <c r="M460" s="41"/>
      <c r="N460" s="41"/>
      <c r="O460" s="41" t="s">
        <v>78</v>
      </c>
      <c r="P460" s="41" t="s">
        <v>78</v>
      </c>
      <c r="Q460" s="41"/>
      <c r="R460" s="41"/>
    </row>
    <row r="461">
      <c r="F461" s="40"/>
      <c r="H461" s="40"/>
      <c r="I461" s="57"/>
      <c r="J461" s="43"/>
      <c r="K461" s="40"/>
      <c r="L461" s="40"/>
      <c r="M461" s="41"/>
      <c r="N461" s="41"/>
      <c r="O461" s="41" t="s">
        <v>78</v>
      </c>
      <c r="P461" s="41" t="s">
        <v>78</v>
      </c>
      <c r="Q461" s="41"/>
      <c r="R461" s="41"/>
    </row>
    <row r="462">
      <c r="F462" s="40"/>
      <c r="H462" s="40"/>
      <c r="I462" s="57"/>
      <c r="J462" s="43"/>
      <c r="K462" s="40"/>
      <c r="L462" s="40"/>
      <c r="M462" s="41"/>
      <c r="N462" s="41"/>
      <c r="O462" s="41" t="s">
        <v>78</v>
      </c>
      <c r="P462" s="41" t="s">
        <v>78</v>
      </c>
      <c r="Q462" s="41"/>
      <c r="R462" s="41"/>
    </row>
    <row r="463">
      <c r="F463" s="40"/>
      <c r="H463" s="40"/>
      <c r="I463" s="57"/>
      <c r="J463" s="43"/>
      <c r="K463" s="40"/>
      <c r="L463" s="40"/>
      <c r="M463" s="41"/>
      <c r="N463" s="41"/>
      <c r="O463" s="41" t="s">
        <v>78</v>
      </c>
      <c r="P463" s="41" t="s">
        <v>78</v>
      </c>
      <c r="Q463" s="41"/>
      <c r="R463" s="41"/>
    </row>
    <row r="464">
      <c r="F464" s="40"/>
      <c r="H464" s="40"/>
      <c r="I464" s="57"/>
      <c r="J464" s="43"/>
      <c r="K464" s="40"/>
      <c r="L464" s="40"/>
      <c r="M464" s="41"/>
      <c r="N464" s="41"/>
      <c r="O464" s="41" t="s">
        <v>78</v>
      </c>
      <c r="P464" s="41" t="s">
        <v>78</v>
      </c>
      <c r="Q464" s="41"/>
      <c r="R464" s="41"/>
    </row>
    <row r="465">
      <c r="F465" s="40"/>
      <c r="H465" s="40"/>
      <c r="I465" s="57"/>
      <c r="J465" s="43"/>
      <c r="K465" s="40"/>
      <c r="L465" s="40"/>
      <c r="M465" s="41"/>
      <c r="N465" s="41"/>
      <c r="O465" s="41" t="s">
        <v>78</v>
      </c>
      <c r="P465" s="41" t="s">
        <v>78</v>
      </c>
      <c r="Q465" s="41"/>
      <c r="R465" s="41"/>
    </row>
    <row r="466">
      <c r="F466" s="40"/>
      <c r="H466" s="40"/>
      <c r="I466" s="57"/>
      <c r="J466" s="43"/>
      <c r="K466" s="40"/>
      <c r="L466" s="40"/>
      <c r="M466" s="41"/>
      <c r="N466" s="41"/>
      <c r="O466" s="41" t="s">
        <v>78</v>
      </c>
      <c r="P466" s="41" t="s">
        <v>78</v>
      </c>
      <c r="Q466" s="41"/>
      <c r="R466" s="41"/>
    </row>
    <row r="467">
      <c r="F467" s="40"/>
      <c r="H467" s="40"/>
      <c r="I467" s="57"/>
      <c r="J467" s="43"/>
      <c r="K467" s="40"/>
      <c r="L467" s="40"/>
      <c r="M467" s="41"/>
      <c r="N467" s="41"/>
      <c r="O467" s="41" t="s">
        <v>78</v>
      </c>
      <c r="P467" s="41" t="s">
        <v>78</v>
      </c>
      <c r="Q467" s="41"/>
      <c r="R467" s="41"/>
    </row>
    <row r="468">
      <c r="F468" s="40"/>
      <c r="H468" s="40"/>
      <c r="I468" s="57"/>
      <c r="J468" s="43"/>
      <c r="K468" s="40"/>
      <c r="L468" s="40"/>
      <c r="M468" s="41"/>
      <c r="N468" s="41"/>
      <c r="O468" s="41" t="s">
        <v>78</v>
      </c>
      <c r="P468" s="41" t="s">
        <v>78</v>
      </c>
      <c r="Q468" s="41"/>
      <c r="R468" s="41"/>
    </row>
    <row r="469">
      <c r="F469" s="40"/>
      <c r="H469" s="40"/>
      <c r="I469" s="57"/>
      <c r="J469" s="43"/>
      <c r="K469" s="40"/>
      <c r="L469" s="40"/>
      <c r="M469" s="41"/>
      <c r="N469" s="41"/>
      <c r="O469" s="41" t="s">
        <v>78</v>
      </c>
      <c r="P469" s="41" t="s">
        <v>78</v>
      </c>
      <c r="Q469" s="41"/>
      <c r="R469" s="41"/>
    </row>
    <row r="470">
      <c r="F470" s="40"/>
      <c r="H470" s="40"/>
      <c r="I470" s="57"/>
      <c r="J470" s="43"/>
      <c r="K470" s="40"/>
      <c r="L470" s="40"/>
      <c r="M470" s="41"/>
      <c r="N470" s="41"/>
      <c r="O470" s="41" t="s">
        <v>78</v>
      </c>
      <c r="P470" s="41" t="s">
        <v>78</v>
      </c>
      <c r="Q470" s="41"/>
      <c r="R470" s="41"/>
    </row>
    <row r="471">
      <c r="F471" s="40"/>
      <c r="H471" s="40"/>
      <c r="I471" s="57"/>
      <c r="J471" s="43"/>
      <c r="K471" s="40"/>
      <c r="L471" s="40"/>
      <c r="M471" s="41"/>
      <c r="N471" s="41"/>
      <c r="O471" s="41" t="s">
        <v>78</v>
      </c>
      <c r="P471" s="41" t="s">
        <v>78</v>
      </c>
      <c r="Q471" s="41"/>
      <c r="R471" s="41"/>
    </row>
    <row r="472">
      <c r="F472" s="40"/>
      <c r="H472" s="40"/>
      <c r="I472" s="57"/>
      <c r="J472" s="43"/>
      <c r="K472" s="40"/>
      <c r="L472" s="40"/>
      <c r="M472" s="41"/>
      <c r="N472" s="41"/>
      <c r="O472" s="41" t="s">
        <v>78</v>
      </c>
      <c r="P472" s="41" t="s">
        <v>78</v>
      </c>
      <c r="Q472" s="41"/>
      <c r="R472" s="41"/>
    </row>
    <row r="473">
      <c r="F473" s="40"/>
      <c r="H473" s="40"/>
      <c r="I473" s="57"/>
      <c r="J473" s="43"/>
      <c r="K473" s="40"/>
      <c r="L473" s="40"/>
      <c r="M473" s="41"/>
      <c r="N473" s="41"/>
      <c r="O473" s="41" t="s">
        <v>78</v>
      </c>
      <c r="P473" s="41" t="s">
        <v>78</v>
      </c>
      <c r="Q473" s="41"/>
      <c r="R473" s="41"/>
    </row>
    <row r="474">
      <c r="F474" s="40"/>
      <c r="H474" s="40"/>
      <c r="I474" s="57"/>
      <c r="J474" s="43"/>
      <c r="K474" s="40"/>
      <c r="L474" s="40"/>
      <c r="M474" s="41"/>
      <c r="N474" s="41"/>
      <c r="O474" s="41" t="s">
        <v>78</v>
      </c>
      <c r="P474" s="41" t="s">
        <v>78</v>
      </c>
      <c r="Q474" s="41"/>
      <c r="R474" s="41"/>
    </row>
    <row r="475">
      <c r="F475" s="40"/>
      <c r="H475" s="40"/>
      <c r="I475" s="57"/>
      <c r="J475" s="43"/>
      <c r="K475" s="40"/>
      <c r="L475" s="40"/>
      <c r="M475" s="41"/>
      <c r="N475" s="41"/>
      <c r="O475" s="41" t="s">
        <v>78</v>
      </c>
      <c r="P475" s="41" t="s">
        <v>78</v>
      </c>
      <c r="Q475" s="41"/>
      <c r="R475" s="41"/>
    </row>
    <row r="476">
      <c r="F476" s="40"/>
      <c r="H476" s="40"/>
      <c r="I476" s="57"/>
      <c r="J476" s="43"/>
      <c r="K476" s="40"/>
      <c r="L476" s="40"/>
      <c r="M476" s="41"/>
      <c r="N476" s="41"/>
      <c r="O476" s="41" t="s">
        <v>78</v>
      </c>
      <c r="P476" s="41" t="s">
        <v>78</v>
      </c>
      <c r="Q476" s="41"/>
      <c r="R476" s="41"/>
    </row>
    <row r="477">
      <c r="F477" s="40"/>
      <c r="H477" s="40"/>
      <c r="I477" s="57"/>
      <c r="J477" s="43"/>
      <c r="K477" s="40"/>
      <c r="L477" s="40"/>
      <c r="M477" s="41"/>
      <c r="N477" s="41"/>
      <c r="O477" s="41" t="s">
        <v>78</v>
      </c>
      <c r="P477" s="41" t="s">
        <v>78</v>
      </c>
      <c r="Q477" s="41"/>
      <c r="R477" s="41"/>
    </row>
    <row r="478">
      <c r="F478" s="40"/>
      <c r="H478" s="40"/>
      <c r="I478" s="57"/>
      <c r="J478" s="43"/>
      <c r="K478" s="40"/>
      <c r="L478" s="40"/>
      <c r="M478" s="41"/>
      <c r="N478" s="41"/>
      <c r="O478" s="41" t="s">
        <v>78</v>
      </c>
      <c r="P478" s="41" t="s">
        <v>78</v>
      </c>
      <c r="Q478" s="41"/>
      <c r="R478" s="41"/>
    </row>
    <row r="479">
      <c r="F479" s="40"/>
      <c r="H479" s="40"/>
      <c r="I479" s="57"/>
      <c r="J479" s="43"/>
      <c r="K479" s="40"/>
      <c r="L479" s="40"/>
      <c r="M479" s="41"/>
      <c r="N479" s="41"/>
      <c r="O479" s="41" t="s">
        <v>78</v>
      </c>
      <c r="P479" s="41" t="s">
        <v>78</v>
      </c>
      <c r="Q479" s="41"/>
      <c r="R479" s="41"/>
    </row>
    <row r="480">
      <c r="F480" s="40"/>
      <c r="H480" s="40"/>
      <c r="I480" s="57"/>
      <c r="J480" s="43"/>
      <c r="K480" s="40"/>
      <c r="L480" s="40"/>
      <c r="M480" s="41"/>
      <c r="N480" s="41"/>
      <c r="O480" s="41" t="s">
        <v>78</v>
      </c>
      <c r="P480" s="41" t="s">
        <v>78</v>
      </c>
      <c r="Q480" s="41"/>
      <c r="R480" s="41"/>
    </row>
    <row r="481">
      <c r="F481" s="40"/>
      <c r="H481" s="40"/>
      <c r="I481" s="57"/>
      <c r="J481" s="43"/>
      <c r="K481" s="40"/>
      <c r="L481" s="40"/>
      <c r="M481" s="41"/>
      <c r="N481" s="41"/>
      <c r="O481" s="41" t="s">
        <v>78</v>
      </c>
      <c r="P481" s="41" t="s">
        <v>78</v>
      </c>
      <c r="Q481" s="41"/>
      <c r="R481" s="41"/>
    </row>
    <row r="482">
      <c r="F482" s="40"/>
      <c r="H482" s="40"/>
      <c r="I482" s="57"/>
      <c r="J482" s="43"/>
      <c r="K482" s="40"/>
      <c r="L482" s="40"/>
      <c r="M482" s="41"/>
      <c r="N482" s="41"/>
      <c r="O482" s="41" t="s">
        <v>78</v>
      </c>
      <c r="P482" s="41" t="s">
        <v>78</v>
      </c>
      <c r="Q482" s="41"/>
      <c r="R482" s="41"/>
    </row>
    <row r="483">
      <c r="F483" s="40"/>
      <c r="H483" s="40"/>
      <c r="I483" s="57"/>
      <c r="J483" s="43"/>
      <c r="K483" s="40"/>
      <c r="L483" s="40"/>
      <c r="M483" s="41"/>
      <c r="N483" s="41"/>
      <c r="O483" s="41" t="s">
        <v>78</v>
      </c>
      <c r="P483" s="41" t="s">
        <v>78</v>
      </c>
      <c r="Q483" s="41"/>
      <c r="R483" s="41"/>
    </row>
    <row r="484">
      <c r="F484" s="40"/>
      <c r="H484" s="40"/>
      <c r="I484" s="57"/>
      <c r="J484" s="43"/>
      <c r="K484" s="40"/>
      <c r="L484" s="40"/>
      <c r="M484" s="41"/>
      <c r="N484" s="41"/>
      <c r="O484" s="41" t="s">
        <v>78</v>
      </c>
      <c r="P484" s="41" t="s">
        <v>78</v>
      </c>
      <c r="Q484" s="41"/>
      <c r="R484" s="41"/>
    </row>
    <row r="485">
      <c r="F485" s="40"/>
      <c r="H485" s="40"/>
      <c r="I485" s="57"/>
      <c r="J485" s="43"/>
      <c r="K485" s="40"/>
      <c r="L485" s="40"/>
      <c r="M485" s="41"/>
      <c r="N485" s="41"/>
      <c r="O485" s="41" t="s">
        <v>78</v>
      </c>
      <c r="P485" s="41" t="s">
        <v>78</v>
      </c>
      <c r="Q485" s="41"/>
      <c r="R485" s="41"/>
    </row>
    <row r="486">
      <c r="F486" s="40"/>
      <c r="H486" s="40"/>
      <c r="I486" s="57"/>
      <c r="J486" s="43"/>
      <c r="K486" s="40"/>
      <c r="L486" s="40"/>
      <c r="M486" s="41"/>
      <c r="N486" s="41"/>
      <c r="O486" s="41" t="s">
        <v>78</v>
      </c>
      <c r="P486" s="41" t="s">
        <v>78</v>
      </c>
      <c r="Q486" s="41"/>
      <c r="R486" s="41"/>
    </row>
    <row r="487">
      <c r="F487" s="40"/>
      <c r="H487" s="40"/>
      <c r="I487" s="57"/>
      <c r="J487" s="43"/>
      <c r="K487" s="40"/>
      <c r="L487" s="40"/>
      <c r="M487" s="41"/>
      <c r="N487" s="41"/>
      <c r="O487" s="41" t="s">
        <v>78</v>
      </c>
      <c r="P487" s="41" t="s">
        <v>78</v>
      </c>
      <c r="Q487" s="41"/>
      <c r="R487" s="41"/>
    </row>
    <row r="488">
      <c r="F488" s="40"/>
      <c r="H488" s="40"/>
      <c r="I488" s="57"/>
      <c r="J488" s="43"/>
      <c r="K488" s="40"/>
      <c r="L488" s="40"/>
      <c r="M488" s="41"/>
      <c r="N488" s="41"/>
      <c r="O488" s="41" t="s">
        <v>78</v>
      </c>
      <c r="P488" s="41" t="s">
        <v>78</v>
      </c>
      <c r="Q488" s="41"/>
      <c r="R488" s="41"/>
    </row>
    <row r="489">
      <c r="F489" s="40"/>
      <c r="H489" s="40"/>
      <c r="I489" s="57"/>
      <c r="J489" s="43"/>
      <c r="K489" s="40"/>
      <c r="L489" s="40"/>
      <c r="M489" s="41"/>
      <c r="N489" s="41"/>
      <c r="O489" s="41" t="s">
        <v>78</v>
      </c>
      <c r="P489" s="41" t="s">
        <v>78</v>
      </c>
      <c r="Q489" s="41"/>
      <c r="R489" s="41"/>
    </row>
    <row r="490">
      <c r="F490" s="40"/>
      <c r="H490" s="40"/>
      <c r="I490" s="57"/>
      <c r="J490" s="43"/>
      <c r="K490" s="40"/>
      <c r="L490" s="40"/>
      <c r="M490" s="41"/>
      <c r="N490" s="41"/>
      <c r="O490" s="41" t="s">
        <v>78</v>
      </c>
      <c r="P490" s="41" t="s">
        <v>78</v>
      </c>
      <c r="Q490" s="41"/>
      <c r="R490" s="41"/>
    </row>
    <row r="491">
      <c r="F491" s="40"/>
      <c r="H491" s="40"/>
      <c r="I491" s="57"/>
      <c r="J491" s="43"/>
      <c r="K491" s="40"/>
      <c r="L491" s="40"/>
      <c r="M491" s="41"/>
      <c r="N491" s="41"/>
      <c r="O491" s="41" t="s">
        <v>78</v>
      </c>
      <c r="P491" s="41" t="s">
        <v>78</v>
      </c>
      <c r="Q491" s="41"/>
      <c r="R491" s="41"/>
    </row>
    <row r="492">
      <c r="F492" s="40"/>
      <c r="H492" s="40"/>
      <c r="I492" s="57"/>
      <c r="J492" s="43"/>
      <c r="K492" s="40"/>
      <c r="L492" s="40"/>
      <c r="M492" s="41"/>
      <c r="N492" s="41"/>
      <c r="O492" s="41" t="s">
        <v>78</v>
      </c>
      <c r="P492" s="41" t="s">
        <v>78</v>
      </c>
      <c r="Q492" s="41"/>
      <c r="R492" s="41"/>
    </row>
    <row r="493">
      <c r="F493" s="40"/>
      <c r="H493" s="40"/>
      <c r="I493" s="57"/>
      <c r="J493" s="43"/>
      <c r="K493" s="40"/>
      <c r="L493" s="40"/>
      <c r="M493" s="41"/>
      <c r="N493" s="41"/>
      <c r="O493" s="41" t="s">
        <v>78</v>
      </c>
      <c r="P493" s="41" t="s">
        <v>78</v>
      </c>
      <c r="Q493" s="41"/>
      <c r="R493" s="41"/>
    </row>
    <row r="494">
      <c r="F494" s="40"/>
      <c r="H494" s="40"/>
      <c r="I494" s="57"/>
      <c r="J494" s="43"/>
      <c r="K494" s="40"/>
      <c r="L494" s="40"/>
      <c r="M494" s="41"/>
      <c r="N494" s="41"/>
      <c r="O494" s="41" t="s">
        <v>78</v>
      </c>
      <c r="P494" s="41" t="s">
        <v>78</v>
      </c>
      <c r="Q494" s="41"/>
      <c r="R494" s="41"/>
    </row>
    <row r="495">
      <c r="F495" s="40"/>
      <c r="H495" s="40"/>
      <c r="I495" s="57"/>
      <c r="J495" s="43"/>
      <c r="K495" s="40"/>
      <c r="L495" s="40"/>
      <c r="M495" s="41"/>
      <c r="N495" s="41"/>
      <c r="O495" s="41" t="s">
        <v>78</v>
      </c>
      <c r="P495" s="41" t="s">
        <v>78</v>
      </c>
      <c r="Q495" s="41"/>
      <c r="R495" s="41"/>
    </row>
    <row r="496">
      <c r="F496" s="40"/>
      <c r="H496" s="40"/>
      <c r="I496" s="57"/>
      <c r="J496" s="43"/>
      <c r="K496" s="40"/>
      <c r="L496" s="40"/>
      <c r="M496" s="41"/>
      <c r="N496" s="41"/>
      <c r="O496" s="41" t="s">
        <v>78</v>
      </c>
      <c r="P496" s="41" t="s">
        <v>78</v>
      </c>
      <c r="Q496" s="41"/>
      <c r="R496" s="41"/>
    </row>
    <row r="497">
      <c r="F497" s="40"/>
      <c r="H497" s="40"/>
      <c r="I497" s="57"/>
      <c r="J497" s="43"/>
      <c r="K497" s="40"/>
      <c r="L497" s="40"/>
      <c r="M497" s="41"/>
      <c r="N497" s="41"/>
      <c r="O497" s="41" t="s">
        <v>78</v>
      </c>
      <c r="P497" s="41" t="s">
        <v>78</v>
      </c>
      <c r="Q497" s="41"/>
      <c r="R497" s="41"/>
    </row>
    <row r="498">
      <c r="F498" s="40"/>
      <c r="H498" s="40"/>
      <c r="I498" s="57"/>
      <c r="J498" s="43"/>
      <c r="K498" s="40"/>
      <c r="L498" s="40"/>
      <c r="M498" s="41"/>
      <c r="N498" s="41"/>
      <c r="O498" s="41" t="s">
        <v>78</v>
      </c>
      <c r="P498" s="41" t="s">
        <v>78</v>
      </c>
      <c r="Q498" s="41"/>
      <c r="R498" s="41"/>
    </row>
    <row r="499">
      <c r="F499" s="40"/>
      <c r="H499" s="40"/>
      <c r="I499" s="57"/>
      <c r="J499" s="43"/>
      <c r="K499" s="40"/>
      <c r="L499" s="40"/>
      <c r="M499" s="41"/>
      <c r="N499" s="41"/>
      <c r="O499" s="41" t="s">
        <v>78</v>
      </c>
      <c r="P499" s="41" t="s">
        <v>78</v>
      </c>
      <c r="Q499" s="41"/>
      <c r="R499" s="41"/>
    </row>
    <row r="500">
      <c r="F500" s="40"/>
      <c r="H500" s="40"/>
      <c r="I500" s="57"/>
      <c r="J500" s="43"/>
      <c r="K500" s="40"/>
      <c r="L500" s="40"/>
      <c r="M500" s="41"/>
      <c r="N500" s="41"/>
      <c r="O500" s="41" t="s">
        <v>78</v>
      </c>
      <c r="P500" s="41" t="s">
        <v>78</v>
      </c>
      <c r="Q500" s="41"/>
      <c r="R500" s="41"/>
    </row>
    <row r="501">
      <c r="F501" s="40"/>
      <c r="H501" s="40"/>
      <c r="I501" s="57"/>
      <c r="J501" s="43"/>
      <c r="K501" s="40"/>
      <c r="L501" s="40"/>
      <c r="M501" s="41"/>
      <c r="N501" s="41"/>
      <c r="O501" s="41" t="s">
        <v>78</v>
      </c>
      <c r="P501" s="41" t="s">
        <v>78</v>
      </c>
      <c r="Q501" s="41"/>
      <c r="R501" s="41"/>
    </row>
    <row r="502">
      <c r="F502" s="40"/>
      <c r="H502" s="40"/>
      <c r="I502" s="57"/>
      <c r="J502" s="43"/>
      <c r="K502" s="40"/>
      <c r="L502" s="40"/>
      <c r="M502" s="41"/>
      <c r="N502" s="41"/>
      <c r="O502" s="41" t="s">
        <v>78</v>
      </c>
      <c r="P502" s="41" t="s">
        <v>78</v>
      </c>
      <c r="Q502" s="41"/>
      <c r="R502" s="41"/>
    </row>
    <row r="503">
      <c r="F503" s="40"/>
      <c r="H503" s="40"/>
      <c r="I503" s="57"/>
      <c r="J503" s="43"/>
      <c r="K503" s="40"/>
      <c r="L503" s="40"/>
      <c r="M503" s="41"/>
      <c r="N503" s="41"/>
      <c r="O503" s="41" t="s">
        <v>78</v>
      </c>
      <c r="P503" s="41" t="s">
        <v>78</v>
      </c>
      <c r="Q503" s="41"/>
      <c r="R503" s="41"/>
    </row>
    <row r="504">
      <c r="F504" s="40"/>
      <c r="H504" s="40"/>
      <c r="I504" s="57"/>
      <c r="J504" s="43"/>
      <c r="K504" s="40"/>
      <c r="L504" s="40"/>
      <c r="M504" s="41"/>
      <c r="N504" s="41"/>
      <c r="O504" s="41" t="s">
        <v>78</v>
      </c>
      <c r="P504" s="41" t="s">
        <v>78</v>
      </c>
      <c r="Q504" s="41"/>
      <c r="R504" s="41"/>
    </row>
    <row r="505">
      <c r="F505" s="40"/>
      <c r="H505" s="40"/>
      <c r="I505" s="57"/>
      <c r="J505" s="43"/>
      <c r="K505" s="40"/>
      <c r="L505" s="40"/>
      <c r="M505" s="41"/>
      <c r="N505" s="41"/>
      <c r="O505" s="41" t="s">
        <v>78</v>
      </c>
      <c r="P505" s="41" t="s">
        <v>78</v>
      </c>
      <c r="Q505" s="41"/>
      <c r="R505" s="41"/>
    </row>
    <row r="506">
      <c r="F506" s="40"/>
      <c r="H506" s="40"/>
      <c r="I506" s="57"/>
      <c r="J506" s="43"/>
      <c r="K506" s="40"/>
      <c r="L506" s="40"/>
      <c r="M506" s="41"/>
      <c r="N506" s="41"/>
      <c r="O506" s="41" t="s">
        <v>78</v>
      </c>
      <c r="P506" s="41" t="s">
        <v>78</v>
      </c>
      <c r="Q506" s="41"/>
      <c r="R506" s="41"/>
    </row>
    <row r="507">
      <c r="F507" s="40"/>
      <c r="H507" s="40"/>
      <c r="I507" s="57"/>
      <c r="J507" s="43"/>
      <c r="K507" s="40"/>
      <c r="L507" s="40"/>
      <c r="M507" s="41"/>
      <c r="N507" s="41"/>
      <c r="O507" s="41" t="s">
        <v>78</v>
      </c>
      <c r="P507" s="41" t="s">
        <v>78</v>
      </c>
      <c r="Q507" s="41"/>
      <c r="R507" s="41"/>
    </row>
    <row r="508">
      <c r="F508" s="40"/>
      <c r="H508" s="40"/>
      <c r="I508" s="57"/>
      <c r="J508" s="43"/>
      <c r="K508" s="40"/>
      <c r="L508" s="40"/>
      <c r="M508" s="41"/>
      <c r="N508" s="41"/>
      <c r="O508" s="41" t="s">
        <v>78</v>
      </c>
      <c r="P508" s="41" t="s">
        <v>78</v>
      </c>
      <c r="Q508" s="41"/>
      <c r="R508" s="41"/>
    </row>
    <row r="509">
      <c r="F509" s="40"/>
      <c r="H509" s="40"/>
      <c r="I509" s="57"/>
      <c r="J509" s="43"/>
      <c r="K509" s="40"/>
      <c r="L509" s="40"/>
      <c r="M509" s="41"/>
      <c r="N509" s="41"/>
      <c r="O509" s="41" t="s">
        <v>78</v>
      </c>
      <c r="P509" s="41" t="s">
        <v>78</v>
      </c>
      <c r="Q509" s="41"/>
      <c r="R509" s="41"/>
    </row>
    <row r="510">
      <c r="F510" s="40"/>
      <c r="H510" s="40"/>
      <c r="I510" s="57"/>
      <c r="J510" s="43"/>
      <c r="K510" s="40"/>
      <c r="L510" s="40"/>
      <c r="M510" s="41"/>
      <c r="N510" s="41"/>
      <c r="O510" s="41" t="s">
        <v>78</v>
      </c>
      <c r="P510" s="41" t="s">
        <v>78</v>
      </c>
      <c r="Q510" s="41"/>
      <c r="R510" s="41"/>
    </row>
    <row r="511">
      <c r="F511" s="40"/>
      <c r="H511" s="40"/>
      <c r="I511" s="57"/>
      <c r="J511" s="43"/>
      <c r="K511" s="40"/>
      <c r="L511" s="40"/>
      <c r="M511" s="41"/>
      <c r="N511" s="41"/>
      <c r="O511" s="41" t="s">
        <v>78</v>
      </c>
      <c r="P511" s="41" t="s">
        <v>78</v>
      </c>
      <c r="Q511" s="41"/>
      <c r="R511" s="41"/>
    </row>
    <row r="512">
      <c r="F512" s="40"/>
      <c r="H512" s="40"/>
      <c r="I512" s="57"/>
      <c r="J512" s="43"/>
      <c r="K512" s="40"/>
      <c r="L512" s="40"/>
      <c r="M512" s="41"/>
      <c r="N512" s="41"/>
      <c r="O512" s="41" t="s">
        <v>78</v>
      </c>
      <c r="P512" s="41" t="s">
        <v>78</v>
      </c>
      <c r="Q512" s="41"/>
      <c r="R512" s="41"/>
    </row>
    <row r="513">
      <c r="F513" s="40"/>
      <c r="H513" s="40"/>
      <c r="I513" s="57"/>
      <c r="J513" s="43"/>
      <c r="K513" s="40"/>
      <c r="L513" s="40"/>
      <c r="M513" s="41"/>
      <c r="N513" s="41"/>
      <c r="O513" s="41" t="s">
        <v>78</v>
      </c>
      <c r="P513" s="41" t="s">
        <v>78</v>
      </c>
      <c r="Q513" s="41"/>
      <c r="R513" s="41"/>
    </row>
    <row r="514">
      <c r="F514" s="40"/>
      <c r="H514" s="40"/>
      <c r="I514" s="57"/>
      <c r="J514" s="43"/>
      <c r="K514" s="40"/>
      <c r="L514" s="40"/>
      <c r="M514" s="41"/>
      <c r="N514" s="41"/>
      <c r="O514" s="41" t="s">
        <v>78</v>
      </c>
      <c r="P514" s="41" t="s">
        <v>78</v>
      </c>
      <c r="Q514" s="41"/>
      <c r="R514" s="41"/>
    </row>
    <row r="515">
      <c r="F515" s="40"/>
      <c r="H515" s="40"/>
      <c r="I515" s="57"/>
      <c r="J515" s="43"/>
      <c r="K515" s="40"/>
      <c r="L515" s="40"/>
      <c r="M515" s="41"/>
      <c r="N515" s="41"/>
      <c r="O515" s="41" t="s">
        <v>78</v>
      </c>
      <c r="P515" s="41" t="s">
        <v>78</v>
      </c>
      <c r="Q515" s="41"/>
      <c r="R515" s="41"/>
    </row>
    <row r="516">
      <c r="F516" s="40"/>
      <c r="H516" s="40"/>
      <c r="I516" s="57"/>
      <c r="J516" s="43"/>
      <c r="K516" s="40"/>
      <c r="L516" s="40"/>
      <c r="M516" s="41"/>
      <c r="N516" s="41"/>
      <c r="O516" s="41" t="s">
        <v>78</v>
      </c>
      <c r="P516" s="41" t="s">
        <v>78</v>
      </c>
      <c r="Q516" s="41"/>
      <c r="R516" s="41"/>
    </row>
    <row r="517">
      <c r="F517" s="40"/>
      <c r="H517" s="40"/>
      <c r="I517" s="57"/>
      <c r="J517" s="43"/>
      <c r="K517" s="40"/>
      <c r="L517" s="40"/>
      <c r="M517" s="41"/>
      <c r="N517" s="41"/>
      <c r="O517" s="41" t="s">
        <v>78</v>
      </c>
      <c r="P517" s="41" t="s">
        <v>78</v>
      </c>
      <c r="Q517" s="41"/>
      <c r="R517" s="41"/>
    </row>
    <row r="518">
      <c r="F518" s="40"/>
      <c r="H518" s="40"/>
      <c r="I518" s="57"/>
      <c r="J518" s="43"/>
      <c r="K518" s="40"/>
      <c r="L518" s="40"/>
      <c r="M518" s="41"/>
      <c r="N518" s="41"/>
      <c r="O518" s="41" t="s">
        <v>78</v>
      </c>
      <c r="P518" s="41" t="s">
        <v>78</v>
      </c>
      <c r="Q518" s="41"/>
      <c r="R518" s="41"/>
    </row>
    <row r="519">
      <c r="F519" s="40"/>
      <c r="H519" s="40"/>
      <c r="I519" s="57"/>
      <c r="J519" s="43"/>
      <c r="K519" s="40"/>
      <c r="L519" s="40"/>
      <c r="M519" s="41"/>
      <c r="N519" s="41"/>
      <c r="O519" s="41" t="s">
        <v>78</v>
      </c>
      <c r="P519" s="41" t="s">
        <v>78</v>
      </c>
      <c r="Q519" s="41"/>
      <c r="R519" s="41"/>
    </row>
    <row r="520">
      <c r="F520" s="40"/>
      <c r="H520" s="40"/>
      <c r="I520" s="57"/>
      <c r="J520" s="43"/>
      <c r="K520" s="40"/>
      <c r="L520" s="40"/>
      <c r="M520" s="41"/>
      <c r="N520" s="41"/>
      <c r="O520" s="41" t="s">
        <v>78</v>
      </c>
      <c r="P520" s="41" t="s">
        <v>78</v>
      </c>
      <c r="Q520" s="41"/>
      <c r="R520" s="41"/>
    </row>
    <row r="521">
      <c r="F521" s="40"/>
      <c r="H521" s="40"/>
      <c r="I521" s="57"/>
      <c r="J521" s="43"/>
      <c r="K521" s="40"/>
      <c r="L521" s="40"/>
      <c r="M521" s="41"/>
      <c r="N521" s="41"/>
      <c r="O521" s="41" t="s">
        <v>78</v>
      </c>
      <c r="P521" s="41" t="s">
        <v>78</v>
      </c>
      <c r="Q521" s="41"/>
      <c r="R521" s="41"/>
    </row>
    <row r="522">
      <c r="F522" s="40"/>
      <c r="H522" s="40"/>
      <c r="I522" s="57"/>
      <c r="J522" s="43"/>
      <c r="K522" s="40"/>
      <c r="L522" s="40"/>
      <c r="M522" s="41"/>
      <c r="N522" s="41"/>
      <c r="O522" s="41" t="s">
        <v>78</v>
      </c>
      <c r="P522" s="41" t="s">
        <v>78</v>
      </c>
      <c r="Q522" s="41"/>
      <c r="R522" s="41"/>
    </row>
    <row r="523">
      <c r="F523" s="40"/>
      <c r="H523" s="40"/>
      <c r="I523" s="57"/>
      <c r="J523" s="43"/>
      <c r="K523" s="40"/>
      <c r="L523" s="40"/>
      <c r="M523" s="41"/>
      <c r="N523" s="41"/>
      <c r="O523" s="41" t="s">
        <v>78</v>
      </c>
      <c r="P523" s="41" t="s">
        <v>78</v>
      </c>
      <c r="Q523" s="41"/>
      <c r="R523" s="41"/>
    </row>
    <row r="524">
      <c r="F524" s="40"/>
      <c r="H524" s="40"/>
      <c r="I524" s="57"/>
      <c r="J524" s="43"/>
      <c r="K524" s="40"/>
      <c r="L524" s="40"/>
      <c r="M524" s="41"/>
      <c r="N524" s="41"/>
      <c r="O524" s="41" t="s">
        <v>78</v>
      </c>
      <c r="P524" s="41" t="s">
        <v>78</v>
      </c>
      <c r="Q524" s="41"/>
      <c r="R524" s="41"/>
    </row>
    <row r="525">
      <c r="F525" s="40"/>
      <c r="H525" s="40"/>
      <c r="I525" s="57"/>
      <c r="J525" s="43"/>
      <c r="K525" s="40"/>
      <c r="L525" s="40"/>
      <c r="M525" s="41"/>
      <c r="N525" s="41"/>
      <c r="O525" s="41" t="s">
        <v>78</v>
      </c>
      <c r="P525" s="41" t="s">
        <v>78</v>
      </c>
      <c r="Q525" s="41"/>
      <c r="R525" s="41"/>
    </row>
    <row r="526">
      <c r="F526" s="40"/>
      <c r="H526" s="40"/>
      <c r="I526" s="57"/>
      <c r="J526" s="43"/>
      <c r="K526" s="40"/>
      <c r="L526" s="40"/>
      <c r="M526" s="41"/>
      <c r="N526" s="41"/>
      <c r="O526" s="41" t="s">
        <v>78</v>
      </c>
      <c r="P526" s="41" t="s">
        <v>78</v>
      </c>
      <c r="Q526" s="41"/>
      <c r="R526" s="41"/>
    </row>
    <row r="527">
      <c r="F527" s="40"/>
      <c r="H527" s="40"/>
      <c r="I527" s="57"/>
      <c r="J527" s="43"/>
      <c r="K527" s="40"/>
      <c r="L527" s="40"/>
      <c r="M527" s="41"/>
      <c r="N527" s="41"/>
      <c r="O527" s="41" t="s">
        <v>78</v>
      </c>
      <c r="P527" s="41" t="s">
        <v>78</v>
      </c>
      <c r="Q527" s="41"/>
      <c r="R527" s="41"/>
    </row>
    <row r="528">
      <c r="F528" s="40"/>
      <c r="H528" s="40"/>
      <c r="I528" s="57"/>
      <c r="J528" s="43"/>
      <c r="K528" s="40"/>
      <c r="L528" s="40"/>
      <c r="M528" s="41"/>
      <c r="N528" s="41"/>
      <c r="O528" s="41" t="s">
        <v>78</v>
      </c>
      <c r="P528" s="41" t="s">
        <v>78</v>
      </c>
      <c r="Q528" s="41"/>
      <c r="R528" s="41"/>
    </row>
    <row r="529">
      <c r="F529" s="40"/>
      <c r="H529" s="40"/>
      <c r="I529" s="57"/>
      <c r="J529" s="43"/>
      <c r="K529" s="40"/>
      <c r="L529" s="40"/>
      <c r="M529" s="41"/>
      <c r="N529" s="41"/>
      <c r="O529" s="41" t="s">
        <v>78</v>
      </c>
      <c r="P529" s="41" t="s">
        <v>78</v>
      </c>
      <c r="Q529" s="41"/>
      <c r="R529" s="41"/>
    </row>
    <row r="530">
      <c r="F530" s="40"/>
      <c r="H530" s="40"/>
      <c r="I530" s="57"/>
      <c r="J530" s="43"/>
      <c r="K530" s="40"/>
      <c r="L530" s="40"/>
      <c r="M530" s="41"/>
      <c r="N530" s="41"/>
      <c r="O530" s="41" t="s">
        <v>78</v>
      </c>
      <c r="P530" s="41" t="s">
        <v>78</v>
      </c>
      <c r="Q530" s="41"/>
      <c r="R530" s="41"/>
    </row>
    <row r="531">
      <c r="F531" s="40"/>
      <c r="H531" s="40"/>
      <c r="I531" s="57"/>
      <c r="J531" s="43"/>
      <c r="K531" s="40"/>
      <c r="L531" s="40"/>
      <c r="M531" s="41"/>
      <c r="N531" s="41"/>
      <c r="O531" s="41" t="s">
        <v>78</v>
      </c>
      <c r="P531" s="41" t="s">
        <v>78</v>
      </c>
      <c r="Q531" s="41"/>
      <c r="R531" s="41"/>
    </row>
    <row r="532">
      <c r="F532" s="40"/>
      <c r="H532" s="40"/>
      <c r="I532" s="57"/>
      <c r="J532" s="43"/>
      <c r="K532" s="40"/>
      <c r="L532" s="40"/>
      <c r="M532" s="41"/>
      <c r="N532" s="41"/>
      <c r="O532" s="41" t="s">
        <v>78</v>
      </c>
      <c r="P532" s="41" t="s">
        <v>78</v>
      </c>
      <c r="Q532" s="41"/>
      <c r="R532" s="41"/>
    </row>
    <row r="533">
      <c r="F533" s="40"/>
      <c r="H533" s="40"/>
      <c r="I533" s="57"/>
      <c r="J533" s="43"/>
      <c r="K533" s="40"/>
      <c r="L533" s="40"/>
      <c r="M533" s="41"/>
      <c r="N533" s="41"/>
      <c r="O533" s="41" t="s">
        <v>78</v>
      </c>
      <c r="P533" s="41" t="s">
        <v>78</v>
      </c>
      <c r="Q533" s="41"/>
      <c r="R533" s="41"/>
    </row>
    <row r="534">
      <c r="F534" s="40"/>
      <c r="H534" s="40"/>
      <c r="I534" s="57"/>
      <c r="J534" s="43"/>
      <c r="K534" s="40"/>
      <c r="L534" s="40"/>
      <c r="M534" s="41"/>
      <c r="N534" s="41"/>
      <c r="O534" s="41" t="s">
        <v>78</v>
      </c>
      <c r="P534" s="41" t="s">
        <v>78</v>
      </c>
      <c r="Q534" s="41"/>
      <c r="R534" s="41"/>
    </row>
    <row r="535">
      <c r="F535" s="40"/>
      <c r="H535" s="40"/>
      <c r="I535" s="57"/>
      <c r="J535" s="43"/>
      <c r="K535" s="40"/>
      <c r="L535" s="40"/>
      <c r="M535" s="41"/>
      <c r="N535" s="41"/>
      <c r="O535" s="41" t="s">
        <v>78</v>
      </c>
      <c r="P535" s="41" t="s">
        <v>78</v>
      </c>
      <c r="Q535" s="41"/>
      <c r="R535" s="41"/>
    </row>
    <row r="536">
      <c r="F536" s="40"/>
      <c r="H536" s="40"/>
      <c r="I536" s="57"/>
      <c r="J536" s="43"/>
      <c r="K536" s="40"/>
      <c r="L536" s="40"/>
      <c r="M536" s="41"/>
      <c r="N536" s="41"/>
      <c r="O536" s="41" t="s">
        <v>78</v>
      </c>
      <c r="P536" s="41" t="s">
        <v>78</v>
      </c>
      <c r="Q536" s="41"/>
      <c r="R536" s="41"/>
    </row>
    <row r="537">
      <c r="F537" s="40"/>
      <c r="H537" s="40"/>
      <c r="I537" s="57"/>
      <c r="J537" s="43"/>
      <c r="K537" s="40"/>
      <c r="L537" s="40"/>
      <c r="M537" s="41"/>
      <c r="N537" s="41"/>
      <c r="O537" s="41" t="s">
        <v>78</v>
      </c>
      <c r="P537" s="41" t="s">
        <v>78</v>
      </c>
      <c r="Q537" s="41"/>
      <c r="R537" s="41"/>
    </row>
    <row r="538">
      <c r="F538" s="40"/>
      <c r="H538" s="40"/>
      <c r="I538" s="57"/>
      <c r="J538" s="43"/>
      <c r="K538" s="40"/>
      <c r="L538" s="40"/>
      <c r="M538" s="41"/>
      <c r="N538" s="41"/>
      <c r="O538" s="41" t="s">
        <v>78</v>
      </c>
      <c r="P538" s="41" t="s">
        <v>78</v>
      </c>
      <c r="Q538" s="41"/>
      <c r="R538" s="41"/>
    </row>
    <row r="539">
      <c r="F539" s="40"/>
      <c r="H539" s="40"/>
      <c r="I539" s="57"/>
      <c r="J539" s="43"/>
      <c r="K539" s="40"/>
      <c r="L539" s="40"/>
      <c r="M539" s="41"/>
      <c r="N539" s="41"/>
      <c r="O539" s="41" t="s">
        <v>78</v>
      </c>
      <c r="P539" s="41" t="s">
        <v>78</v>
      </c>
      <c r="Q539" s="41"/>
      <c r="R539" s="41"/>
    </row>
    <row r="540">
      <c r="F540" s="40"/>
      <c r="H540" s="40"/>
      <c r="I540" s="57"/>
      <c r="J540" s="43"/>
      <c r="K540" s="40"/>
      <c r="L540" s="40"/>
      <c r="M540" s="41"/>
      <c r="N540" s="41"/>
      <c r="O540" s="41" t="s">
        <v>78</v>
      </c>
      <c r="P540" s="41" t="s">
        <v>78</v>
      </c>
      <c r="Q540" s="41"/>
      <c r="R540" s="41"/>
    </row>
    <row r="541">
      <c r="F541" s="40"/>
      <c r="H541" s="40"/>
      <c r="I541" s="57"/>
      <c r="J541" s="43"/>
      <c r="K541" s="40"/>
      <c r="L541" s="40"/>
      <c r="M541" s="41"/>
      <c r="N541" s="41"/>
      <c r="O541" s="41" t="s">
        <v>78</v>
      </c>
      <c r="P541" s="41" t="s">
        <v>78</v>
      </c>
      <c r="Q541" s="41"/>
      <c r="R541" s="41"/>
    </row>
    <row r="542">
      <c r="F542" s="40"/>
      <c r="H542" s="40"/>
      <c r="I542" s="57"/>
      <c r="J542" s="43"/>
      <c r="K542" s="40"/>
      <c r="L542" s="40"/>
      <c r="M542" s="41"/>
      <c r="N542" s="41"/>
      <c r="O542" s="41" t="s">
        <v>78</v>
      </c>
      <c r="P542" s="41" t="s">
        <v>78</v>
      </c>
      <c r="Q542" s="41"/>
      <c r="R542" s="41"/>
    </row>
    <row r="543">
      <c r="F543" s="40"/>
      <c r="H543" s="40"/>
      <c r="I543" s="57"/>
      <c r="J543" s="43"/>
      <c r="K543" s="40"/>
      <c r="L543" s="40"/>
      <c r="M543" s="41"/>
      <c r="N543" s="41"/>
      <c r="O543" s="41" t="s">
        <v>78</v>
      </c>
      <c r="P543" s="41" t="s">
        <v>78</v>
      </c>
      <c r="Q543" s="41"/>
      <c r="R543" s="41"/>
    </row>
    <row r="544">
      <c r="F544" s="40"/>
      <c r="H544" s="40"/>
      <c r="I544" s="57"/>
      <c r="J544" s="43"/>
      <c r="K544" s="40"/>
      <c r="L544" s="40"/>
      <c r="M544" s="41"/>
      <c r="N544" s="41"/>
      <c r="O544" s="41" t="s">
        <v>78</v>
      </c>
      <c r="P544" s="41" t="s">
        <v>78</v>
      </c>
      <c r="Q544" s="41"/>
      <c r="R544" s="41"/>
    </row>
    <row r="545">
      <c r="F545" s="40"/>
      <c r="H545" s="40"/>
      <c r="I545" s="57"/>
      <c r="J545" s="43"/>
      <c r="K545" s="40"/>
      <c r="L545" s="40"/>
      <c r="M545" s="41"/>
      <c r="N545" s="41"/>
      <c r="O545" s="41" t="s">
        <v>78</v>
      </c>
      <c r="P545" s="41" t="s">
        <v>78</v>
      </c>
      <c r="Q545" s="41"/>
      <c r="R545" s="41"/>
    </row>
    <row r="546">
      <c r="F546" s="40"/>
      <c r="H546" s="40"/>
      <c r="I546" s="57"/>
      <c r="J546" s="43"/>
      <c r="K546" s="40"/>
      <c r="L546" s="40"/>
      <c r="M546" s="41"/>
      <c r="N546" s="41"/>
      <c r="O546" s="41" t="s">
        <v>78</v>
      </c>
      <c r="P546" s="41" t="s">
        <v>78</v>
      </c>
      <c r="Q546" s="41"/>
      <c r="R546" s="41"/>
    </row>
    <row r="547">
      <c r="F547" s="40"/>
      <c r="H547" s="40"/>
      <c r="I547" s="57"/>
      <c r="J547" s="43"/>
      <c r="K547" s="40"/>
      <c r="L547" s="40"/>
      <c r="M547" s="41"/>
      <c r="N547" s="41"/>
      <c r="O547" s="41" t="s">
        <v>78</v>
      </c>
      <c r="P547" s="41" t="s">
        <v>78</v>
      </c>
      <c r="Q547" s="41"/>
      <c r="R547" s="41"/>
    </row>
    <row r="548">
      <c r="F548" s="40"/>
      <c r="H548" s="40"/>
      <c r="I548" s="57"/>
      <c r="J548" s="43"/>
      <c r="K548" s="40"/>
      <c r="L548" s="40"/>
      <c r="M548" s="41"/>
      <c r="N548" s="41"/>
      <c r="O548" s="41" t="s">
        <v>78</v>
      </c>
      <c r="P548" s="41" t="s">
        <v>78</v>
      </c>
      <c r="Q548" s="41"/>
      <c r="R548" s="41"/>
    </row>
    <row r="549">
      <c r="F549" s="40"/>
      <c r="H549" s="40"/>
      <c r="I549" s="57"/>
      <c r="J549" s="43"/>
      <c r="K549" s="40"/>
      <c r="L549" s="40"/>
      <c r="M549" s="41"/>
      <c r="N549" s="41"/>
      <c r="O549" s="41" t="s">
        <v>78</v>
      </c>
      <c r="P549" s="41" t="s">
        <v>78</v>
      </c>
      <c r="Q549" s="41"/>
      <c r="R549" s="41"/>
    </row>
    <row r="550">
      <c r="F550" s="40"/>
      <c r="H550" s="40"/>
      <c r="I550" s="57"/>
      <c r="J550" s="43"/>
      <c r="K550" s="40"/>
      <c r="L550" s="40"/>
      <c r="M550" s="41"/>
      <c r="N550" s="41"/>
      <c r="O550" s="41" t="s">
        <v>78</v>
      </c>
      <c r="P550" s="41" t="s">
        <v>78</v>
      </c>
      <c r="Q550" s="41"/>
      <c r="R550" s="41"/>
    </row>
    <row r="551">
      <c r="F551" s="40"/>
      <c r="H551" s="40"/>
      <c r="I551" s="57"/>
      <c r="J551" s="43"/>
      <c r="K551" s="40"/>
      <c r="L551" s="40"/>
      <c r="M551" s="41"/>
      <c r="N551" s="41"/>
      <c r="O551" s="41" t="s">
        <v>78</v>
      </c>
      <c r="P551" s="41" t="s">
        <v>78</v>
      </c>
      <c r="Q551" s="41"/>
      <c r="R551" s="41"/>
    </row>
    <row r="552">
      <c r="F552" s="40"/>
      <c r="H552" s="40"/>
      <c r="I552" s="57"/>
      <c r="J552" s="43"/>
      <c r="K552" s="40"/>
      <c r="L552" s="40"/>
      <c r="M552" s="41"/>
      <c r="N552" s="41"/>
      <c r="O552" s="41" t="s">
        <v>78</v>
      </c>
      <c r="P552" s="41" t="s">
        <v>78</v>
      </c>
      <c r="Q552" s="41"/>
      <c r="R552" s="41"/>
    </row>
    <row r="553">
      <c r="F553" s="40"/>
      <c r="H553" s="40"/>
      <c r="I553" s="57"/>
      <c r="J553" s="43"/>
      <c r="K553" s="40"/>
      <c r="L553" s="40"/>
      <c r="M553" s="41"/>
      <c r="N553" s="41"/>
      <c r="O553" s="41" t="s">
        <v>78</v>
      </c>
      <c r="P553" s="41" t="s">
        <v>78</v>
      </c>
      <c r="Q553" s="41"/>
      <c r="R553" s="41"/>
    </row>
    <row r="554">
      <c r="F554" s="40"/>
      <c r="H554" s="40"/>
      <c r="I554" s="57"/>
      <c r="J554" s="43"/>
      <c r="K554" s="40"/>
      <c r="L554" s="40"/>
      <c r="M554" s="41"/>
      <c r="N554" s="41"/>
      <c r="O554" s="41" t="s">
        <v>78</v>
      </c>
      <c r="P554" s="41" t="s">
        <v>78</v>
      </c>
      <c r="Q554" s="41"/>
      <c r="R554" s="41"/>
    </row>
    <row r="555">
      <c r="F555" s="40"/>
      <c r="H555" s="40"/>
      <c r="I555" s="57"/>
      <c r="J555" s="43"/>
      <c r="K555" s="40"/>
      <c r="L555" s="40"/>
      <c r="M555" s="41"/>
      <c r="N555" s="41"/>
      <c r="O555" s="41" t="s">
        <v>78</v>
      </c>
      <c r="P555" s="41" t="s">
        <v>78</v>
      </c>
      <c r="Q555" s="41"/>
      <c r="R555" s="41"/>
    </row>
    <row r="556">
      <c r="F556" s="40"/>
      <c r="H556" s="40"/>
      <c r="I556" s="57"/>
      <c r="J556" s="43"/>
      <c r="K556" s="40"/>
      <c r="L556" s="40"/>
      <c r="M556" s="41"/>
      <c r="N556" s="41"/>
      <c r="O556" s="41" t="s">
        <v>78</v>
      </c>
      <c r="P556" s="41" t="s">
        <v>78</v>
      </c>
      <c r="Q556" s="41"/>
      <c r="R556" s="41"/>
    </row>
    <row r="557">
      <c r="F557" s="40"/>
      <c r="H557" s="40"/>
      <c r="I557" s="57"/>
      <c r="J557" s="43"/>
      <c r="K557" s="40"/>
      <c r="L557" s="40"/>
      <c r="M557" s="41"/>
      <c r="N557" s="41"/>
      <c r="O557" s="41" t="s">
        <v>78</v>
      </c>
      <c r="P557" s="41" t="s">
        <v>78</v>
      </c>
      <c r="Q557" s="41"/>
      <c r="R557" s="41"/>
    </row>
    <row r="558">
      <c r="F558" s="40"/>
      <c r="H558" s="40"/>
      <c r="I558" s="57"/>
      <c r="J558" s="43"/>
      <c r="K558" s="40"/>
      <c r="L558" s="40"/>
      <c r="M558" s="41"/>
      <c r="N558" s="41"/>
      <c r="O558" s="41" t="s">
        <v>78</v>
      </c>
      <c r="P558" s="41" t="s">
        <v>78</v>
      </c>
      <c r="Q558" s="41"/>
      <c r="R558" s="41"/>
    </row>
    <row r="559">
      <c r="F559" s="40"/>
      <c r="H559" s="40"/>
      <c r="I559" s="57"/>
      <c r="J559" s="43"/>
      <c r="K559" s="40"/>
      <c r="L559" s="40"/>
      <c r="M559" s="41"/>
      <c r="N559" s="41"/>
      <c r="O559" s="41" t="s">
        <v>78</v>
      </c>
      <c r="P559" s="41" t="s">
        <v>78</v>
      </c>
      <c r="Q559" s="41"/>
      <c r="R559" s="41"/>
    </row>
    <row r="560">
      <c r="F560" s="40"/>
      <c r="H560" s="40"/>
      <c r="I560" s="57"/>
      <c r="J560" s="43"/>
      <c r="K560" s="40"/>
      <c r="L560" s="40"/>
      <c r="M560" s="41"/>
      <c r="N560" s="41"/>
      <c r="O560" s="41" t="s">
        <v>78</v>
      </c>
      <c r="P560" s="41" t="s">
        <v>78</v>
      </c>
      <c r="Q560" s="41"/>
      <c r="R560" s="41"/>
    </row>
    <row r="561">
      <c r="F561" s="40"/>
      <c r="H561" s="40"/>
      <c r="I561" s="57"/>
      <c r="J561" s="43"/>
      <c r="K561" s="40"/>
      <c r="L561" s="40"/>
      <c r="M561" s="41"/>
      <c r="N561" s="41"/>
      <c r="O561" s="41" t="s">
        <v>78</v>
      </c>
      <c r="P561" s="41" t="s">
        <v>78</v>
      </c>
      <c r="Q561" s="41"/>
      <c r="R561" s="41"/>
    </row>
    <row r="562">
      <c r="F562" s="40"/>
      <c r="H562" s="40"/>
      <c r="I562" s="57"/>
      <c r="J562" s="43"/>
      <c r="K562" s="40"/>
      <c r="L562" s="40"/>
      <c r="M562" s="41"/>
      <c r="N562" s="41"/>
      <c r="O562" s="41" t="s">
        <v>78</v>
      </c>
      <c r="P562" s="41" t="s">
        <v>78</v>
      </c>
      <c r="Q562" s="41"/>
      <c r="R562" s="41"/>
    </row>
    <row r="563">
      <c r="F563" s="40"/>
      <c r="H563" s="40"/>
      <c r="I563" s="57"/>
      <c r="J563" s="43"/>
      <c r="K563" s="40"/>
      <c r="L563" s="40"/>
      <c r="M563" s="41"/>
      <c r="N563" s="41"/>
      <c r="O563" s="41" t="s">
        <v>78</v>
      </c>
      <c r="P563" s="41" t="s">
        <v>78</v>
      </c>
      <c r="Q563" s="41"/>
      <c r="R563" s="41"/>
    </row>
    <row r="564">
      <c r="F564" s="40"/>
      <c r="H564" s="40"/>
      <c r="I564" s="57"/>
      <c r="J564" s="43"/>
      <c r="K564" s="40"/>
      <c r="L564" s="40"/>
      <c r="M564" s="41"/>
      <c r="N564" s="41"/>
      <c r="O564" s="41" t="s">
        <v>78</v>
      </c>
      <c r="P564" s="41" t="s">
        <v>78</v>
      </c>
      <c r="Q564" s="41"/>
      <c r="R564" s="41"/>
    </row>
    <row r="565">
      <c r="F565" s="40"/>
      <c r="H565" s="40"/>
      <c r="I565" s="57"/>
      <c r="J565" s="43"/>
      <c r="K565" s="40"/>
      <c r="L565" s="40"/>
      <c r="M565" s="41"/>
      <c r="N565" s="41"/>
      <c r="O565" s="41" t="s">
        <v>78</v>
      </c>
      <c r="P565" s="41" t="s">
        <v>78</v>
      </c>
      <c r="Q565" s="41"/>
      <c r="R565" s="41"/>
    </row>
    <row r="566">
      <c r="F566" s="40"/>
      <c r="H566" s="40"/>
      <c r="I566" s="57"/>
      <c r="J566" s="43"/>
      <c r="K566" s="40"/>
      <c r="L566" s="40"/>
      <c r="M566" s="41"/>
      <c r="N566" s="41"/>
      <c r="O566" s="41" t="s">
        <v>78</v>
      </c>
      <c r="P566" s="41" t="s">
        <v>78</v>
      </c>
      <c r="Q566" s="41"/>
      <c r="R566" s="41"/>
    </row>
    <row r="567">
      <c r="F567" s="40"/>
      <c r="H567" s="40"/>
      <c r="I567" s="57"/>
      <c r="J567" s="43"/>
      <c r="K567" s="40"/>
      <c r="L567" s="40"/>
      <c r="M567" s="41"/>
      <c r="N567" s="41"/>
      <c r="O567" s="41" t="s">
        <v>78</v>
      </c>
      <c r="P567" s="41" t="s">
        <v>78</v>
      </c>
      <c r="Q567" s="41"/>
      <c r="R567" s="41"/>
    </row>
    <row r="568">
      <c r="F568" s="40"/>
      <c r="H568" s="40"/>
      <c r="I568" s="57"/>
      <c r="J568" s="43"/>
      <c r="K568" s="40"/>
      <c r="L568" s="40"/>
      <c r="M568" s="41"/>
      <c r="N568" s="41"/>
      <c r="O568" s="41" t="s">
        <v>78</v>
      </c>
      <c r="P568" s="41" t="s">
        <v>78</v>
      </c>
      <c r="Q568" s="41"/>
      <c r="R568" s="41"/>
    </row>
    <row r="569">
      <c r="F569" s="40"/>
      <c r="H569" s="40"/>
      <c r="I569" s="57"/>
      <c r="J569" s="43"/>
      <c r="K569" s="40"/>
      <c r="L569" s="40"/>
      <c r="M569" s="41"/>
      <c r="N569" s="41"/>
      <c r="O569" s="41" t="s">
        <v>78</v>
      </c>
      <c r="P569" s="41" t="s">
        <v>78</v>
      </c>
      <c r="Q569" s="41"/>
      <c r="R569" s="41"/>
    </row>
    <row r="570">
      <c r="F570" s="40"/>
      <c r="H570" s="40"/>
      <c r="I570" s="57"/>
      <c r="J570" s="43"/>
      <c r="K570" s="40"/>
      <c r="L570" s="40"/>
      <c r="M570" s="41"/>
      <c r="N570" s="41"/>
      <c r="O570" s="41" t="s">
        <v>78</v>
      </c>
      <c r="P570" s="41" t="s">
        <v>78</v>
      </c>
      <c r="Q570" s="41"/>
      <c r="R570" s="41"/>
    </row>
    <row r="571">
      <c r="F571" s="40"/>
      <c r="H571" s="40"/>
      <c r="I571" s="57"/>
      <c r="J571" s="43"/>
      <c r="K571" s="40"/>
      <c r="L571" s="40"/>
      <c r="M571" s="41"/>
      <c r="N571" s="41"/>
      <c r="O571" s="41" t="s">
        <v>78</v>
      </c>
      <c r="P571" s="41" t="s">
        <v>78</v>
      </c>
      <c r="Q571" s="41"/>
      <c r="R571" s="41"/>
    </row>
    <row r="572">
      <c r="F572" s="40"/>
      <c r="H572" s="40"/>
      <c r="I572" s="57"/>
      <c r="J572" s="43"/>
      <c r="K572" s="40"/>
      <c r="L572" s="40"/>
      <c r="M572" s="41"/>
      <c r="N572" s="41"/>
      <c r="O572" s="41" t="s">
        <v>78</v>
      </c>
      <c r="P572" s="41" t="s">
        <v>78</v>
      </c>
      <c r="Q572" s="41"/>
      <c r="R572" s="41"/>
    </row>
    <row r="573">
      <c r="F573" s="40"/>
      <c r="H573" s="40"/>
      <c r="I573" s="57"/>
      <c r="J573" s="43"/>
      <c r="K573" s="40"/>
      <c r="L573" s="40"/>
      <c r="M573" s="41"/>
      <c r="N573" s="41"/>
      <c r="O573" s="41" t="s">
        <v>78</v>
      </c>
      <c r="P573" s="41" t="s">
        <v>78</v>
      </c>
      <c r="Q573" s="41"/>
      <c r="R573" s="41"/>
    </row>
    <row r="574">
      <c r="F574" s="40"/>
      <c r="H574" s="40"/>
      <c r="I574" s="57"/>
      <c r="J574" s="43"/>
      <c r="K574" s="40"/>
      <c r="L574" s="40"/>
      <c r="M574" s="41"/>
      <c r="N574" s="41"/>
      <c r="O574" s="41" t="s">
        <v>78</v>
      </c>
      <c r="P574" s="41" t="s">
        <v>78</v>
      </c>
      <c r="Q574" s="41"/>
      <c r="R574" s="41"/>
    </row>
    <row r="575">
      <c r="F575" s="40"/>
      <c r="H575" s="40"/>
      <c r="I575" s="57"/>
      <c r="J575" s="43"/>
      <c r="K575" s="40"/>
      <c r="L575" s="40"/>
      <c r="M575" s="41"/>
      <c r="N575" s="41"/>
      <c r="O575" s="41" t="s">
        <v>78</v>
      </c>
      <c r="P575" s="41" t="s">
        <v>78</v>
      </c>
      <c r="Q575" s="41"/>
      <c r="R575" s="41"/>
    </row>
    <row r="576">
      <c r="F576" s="40"/>
      <c r="H576" s="40"/>
      <c r="I576" s="57"/>
      <c r="J576" s="43"/>
      <c r="K576" s="40"/>
      <c r="L576" s="40"/>
      <c r="M576" s="41"/>
      <c r="N576" s="41"/>
      <c r="O576" s="41" t="s">
        <v>78</v>
      </c>
      <c r="P576" s="41" t="s">
        <v>78</v>
      </c>
      <c r="Q576" s="41"/>
      <c r="R576" s="41"/>
    </row>
    <row r="577">
      <c r="F577" s="40"/>
      <c r="H577" s="40"/>
      <c r="I577" s="57"/>
      <c r="J577" s="43"/>
      <c r="K577" s="40"/>
      <c r="L577" s="40"/>
      <c r="M577" s="41"/>
      <c r="N577" s="41"/>
      <c r="O577" s="41" t="s">
        <v>78</v>
      </c>
      <c r="P577" s="41" t="s">
        <v>78</v>
      </c>
      <c r="Q577" s="41"/>
      <c r="R577" s="41"/>
    </row>
    <row r="578">
      <c r="F578" s="40"/>
      <c r="H578" s="40"/>
      <c r="I578" s="57"/>
      <c r="J578" s="43"/>
      <c r="K578" s="40"/>
      <c r="L578" s="40"/>
      <c r="M578" s="41"/>
      <c r="N578" s="41"/>
      <c r="O578" s="41" t="s">
        <v>78</v>
      </c>
      <c r="P578" s="41" t="s">
        <v>78</v>
      </c>
      <c r="Q578" s="41"/>
      <c r="R578" s="41"/>
    </row>
    <row r="579">
      <c r="F579" s="40"/>
      <c r="H579" s="40"/>
      <c r="I579" s="57"/>
      <c r="J579" s="43"/>
      <c r="K579" s="40"/>
      <c r="L579" s="40"/>
      <c r="M579" s="41"/>
      <c r="N579" s="41"/>
      <c r="O579" s="41" t="s">
        <v>78</v>
      </c>
      <c r="P579" s="41" t="s">
        <v>78</v>
      </c>
      <c r="Q579" s="41"/>
      <c r="R579" s="41"/>
    </row>
    <row r="580">
      <c r="F580" s="40"/>
      <c r="H580" s="40"/>
      <c r="I580" s="57"/>
      <c r="J580" s="43"/>
      <c r="K580" s="40"/>
      <c r="L580" s="40"/>
      <c r="M580" s="41"/>
      <c r="N580" s="41"/>
      <c r="O580" s="41" t="s">
        <v>78</v>
      </c>
      <c r="P580" s="41" t="s">
        <v>78</v>
      </c>
      <c r="Q580" s="41"/>
      <c r="R580" s="41"/>
    </row>
    <row r="581">
      <c r="F581" s="40"/>
      <c r="H581" s="40"/>
      <c r="I581" s="57"/>
      <c r="J581" s="43"/>
      <c r="K581" s="40"/>
      <c r="L581" s="40"/>
      <c r="M581" s="41"/>
      <c r="N581" s="41"/>
      <c r="O581" s="41" t="s">
        <v>78</v>
      </c>
      <c r="P581" s="41" t="s">
        <v>78</v>
      </c>
      <c r="Q581" s="41"/>
      <c r="R581" s="41"/>
    </row>
    <row r="582">
      <c r="F582" s="40"/>
      <c r="H582" s="40"/>
      <c r="I582" s="57"/>
      <c r="J582" s="43"/>
      <c r="K582" s="40"/>
      <c r="L582" s="40"/>
      <c r="M582" s="41"/>
      <c r="N582" s="41"/>
      <c r="O582" s="41" t="s">
        <v>78</v>
      </c>
      <c r="P582" s="41" t="s">
        <v>78</v>
      </c>
      <c r="Q582" s="41"/>
      <c r="R582" s="41"/>
    </row>
    <row r="583">
      <c r="F583" s="40"/>
      <c r="H583" s="40"/>
      <c r="I583" s="57"/>
      <c r="J583" s="43"/>
      <c r="K583" s="40"/>
      <c r="L583" s="40"/>
      <c r="M583" s="41"/>
      <c r="N583" s="41"/>
      <c r="O583" s="41" t="s">
        <v>78</v>
      </c>
      <c r="P583" s="41" t="s">
        <v>78</v>
      </c>
      <c r="Q583" s="41"/>
      <c r="R583" s="41"/>
    </row>
    <row r="584">
      <c r="F584" s="40"/>
      <c r="H584" s="40"/>
      <c r="I584" s="57"/>
      <c r="J584" s="43"/>
      <c r="K584" s="40"/>
      <c r="L584" s="40"/>
      <c r="M584" s="41"/>
      <c r="N584" s="41"/>
      <c r="O584" s="41" t="s">
        <v>78</v>
      </c>
      <c r="P584" s="41" t="s">
        <v>78</v>
      </c>
      <c r="Q584" s="41"/>
      <c r="R584" s="41"/>
    </row>
    <row r="585">
      <c r="F585" s="40"/>
      <c r="H585" s="40"/>
      <c r="I585" s="57"/>
      <c r="J585" s="43"/>
      <c r="K585" s="40"/>
      <c r="L585" s="40"/>
      <c r="M585" s="41"/>
      <c r="N585" s="41"/>
      <c r="O585" s="41" t="s">
        <v>78</v>
      </c>
      <c r="P585" s="41" t="s">
        <v>78</v>
      </c>
      <c r="Q585" s="41"/>
      <c r="R585" s="41"/>
    </row>
    <row r="586">
      <c r="F586" s="40"/>
      <c r="H586" s="40"/>
      <c r="I586" s="57"/>
      <c r="J586" s="43"/>
      <c r="K586" s="40"/>
      <c r="L586" s="40"/>
      <c r="M586" s="41"/>
      <c r="N586" s="41"/>
      <c r="O586" s="41" t="s">
        <v>78</v>
      </c>
      <c r="P586" s="41" t="s">
        <v>78</v>
      </c>
      <c r="Q586" s="41"/>
      <c r="R586" s="41"/>
    </row>
    <row r="587">
      <c r="F587" s="40"/>
      <c r="H587" s="40"/>
      <c r="I587" s="57"/>
      <c r="J587" s="43"/>
      <c r="K587" s="40"/>
      <c r="L587" s="40"/>
      <c r="M587" s="41"/>
      <c r="N587" s="41"/>
      <c r="O587" s="41" t="s">
        <v>78</v>
      </c>
      <c r="P587" s="41" t="s">
        <v>78</v>
      </c>
      <c r="Q587" s="41"/>
      <c r="R587" s="41"/>
    </row>
    <row r="588">
      <c r="F588" s="40"/>
      <c r="H588" s="40"/>
      <c r="I588" s="57"/>
      <c r="J588" s="43"/>
      <c r="K588" s="40"/>
      <c r="L588" s="40"/>
      <c r="M588" s="41"/>
      <c r="N588" s="41"/>
      <c r="O588" s="41" t="s">
        <v>78</v>
      </c>
      <c r="P588" s="41" t="s">
        <v>78</v>
      </c>
      <c r="Q588" s="41"/>
      <c r="R588" s="41"/>
    </row>
    <row r="589">
      <c r="F589" s="40"/>
      <c r="H589" s="40"/>
      <c r="I589" s="57"/>
      <c r="J589" s="43"/>
      <c r="K589" s="40"/>
      <c r="L589" s="40"/>
      <c r="M589" s="41"/>
      <c r="N589" s="41"/>
      <c r="O589" s="41" t="s">
        <v>78</v>
      </c>
      <c r="P589" s="41" t="s">
        <v>78</v>
      </c>
      <c r="Q589" s="41"/>
      <c r="R589" s="41"/>
    </row>
    <row r="590">
      <c r="F590" s="40"/>
      <c r="H590" s="40"/>
      <c r="I590" s="57"/>
      <c r="J590" s="43"/>
      <c r="K590" s="40"/>
      <c r="L590" s="40"/>
      <c r="M590" s="41"/>
      <c r="N590" s="41"/>
      <c r="O590" s="41" t="s">
        <v>78</v>
      </c>
      <c r="P590" s="41" t="s">
        <v>78</v>
      </c>
      <c r="Q590" s="41"/>
      <c r="R590" s="41"/>
    </row>
    <row r="591">
      <c r="F591" s="40"/>
      <c r="H591" s="40"/>
      <c r="I591" s="57"/>
      <c r="J591" s="43"/>
      <c r="K591" s="40"/>
      <c r="L591" s="40"/>
      <c r="M591" s="41"/>
      <c r="N591" s="41"/>
      <c r="O591" s="41" t="s">
        <v>78</v>
      </c>
      <c r="P591" s="41" t="s">
        <v>78</v>
      </c>
      <c r="Q591" s="41"/>
      <c r="R591" s="41"/>
    </row>
    <row r="592">
      <c r="F592" s="40"/>
      <c r="H592" s="40"/>
      <c r="I592" s="57"/>
      <c r="J592" s="43"/>
      <c r="K592" s="40"/>
      <c r="L592" s="40"/>
      <c r="M592" s="41"/>
      <c r="N592" s="41"/>
      <c r="O592" s="41" t="s">
        <v>78</v>
      </c>
      <c r="P592" s="41" t="s">
        <v>78</v>
      </c>
      <c r="Q592" s="41"/>
      <c r="R592" s="41"/>
    </row>
    <row r="593">
      <c r="F593" s="40"/>
      <c r="H593" s="40"/>
      <c r="I593" s="57"/>
      <c r="J593" s="43"/>
      <c r="K593" s="40"/>
      <c r="L593" s="40"/>
      <c r="M593" s="41"/>
      <c r="N593" s="41"/>
      <c r="O593" s="41" t="s">
        <v>78</v>
      </c>
      <c r="P593" s="41" t="s">
        <v>78</v>
      </c>
      <c r="Q593" s="41"/>
      <c r="R593" s="41"/>
    </row>
    <row r="594">
      <c r="F594" s="40"/>
      <c r="H594" s="40"/>
      <c r="I594" s="57"/>
      <c r="J594" s="43"/>
      <c r="K594" s="40"/>
      <c r="L594" s="40"/>
      <c r="M594" s="41"/>
      <c r="N594" s="41"/>
      <c r="O594" s="41" t="s">
        <v>78</v>
      </c>
      <c r="P594" s="41" t="s">
        <v>78</v>
      </c>
      <c r="Q594" s="41"/>
      <c r="R594" s="41"/>
    </row>
    <row r="595">
      <c r="F595" s="40"/>
      <c r="H595" s="40"/>
      <c r="I595" s="57"/>
      <c r="J595" s="43"/>
      <c r="K595" s="40"/>
      <c r="L595" s="40"/>
      <c r="M595" s="41"/>
      <c r="N595" s="41"/>
      <c r="O595" s="41" t="s">
        <v>78</v>
      </c>
      <c r="P595" s="41" t="s">
        <v>78</v>
      </c>
      <c r="Q595" s="41"/>
      <c r="R595" s="41"/>
    </row>
    <row r="596">
      <c r="F596" s="40"/>
      <c r="H596" s="40"/>
      <c r="I596" s="57"/>
      <c r="J596" s="43"/>
      <c r="K596" s="40"/>
      <c r="L596" s="40"/>
      <c r="M596" s="41"/>
      <c r="N596" s="41"/>
      <c r="O596" s="41" t="s">
        <v>78</v>
      </c>
      <c r="P596" s="41" t="s">
        <v>78</v>
      </c>
      <c r="Q596" s="41"/>
      <c r="R596" s="41"/>
    </row>
    <row r="597">
      <c r="F597" s="40"/>
      <c r="H597" s="40"/>
      <c r="I597" s="57"/>
      <c r="J597" s="43"/>
      <c r="K597" s="40"/>
      <c r="L597" s="40"/>
      <c r="M597" s="41"/>
      <c r="N597" s="41"/>
      <c r="O597" s="41" t="s">
        <v>78</v>
      </c>
      <c r="P597" s="41" t="s">
        <v>78</v>
      </c>
      <c r="Q597" s="41"/>
      <c r="R597" s="41"/>
    </row>
    <row r="598">
      <c r="F598" s="40"/>
      <c r="H598" s="40"/>
      <c r="I598" s="57"/>
      <c r="J598" s="43"/>
      <c r="K598" s="40"/>
      <c r="L598" s="40"/>
      <c r="M598" s="41"/>
      <c r="N598" s="41"/>
      <c r="O598" s="41" t="s">
        <v>78</v>
      </c>
      <c r="P598" s="41" t="s">
        <v>78</v>
      </c>
      <c r="Q598" s="41"/>
      <c r="R598" s="41"/>
    </row>
    <row r="599">
      <c r="F599" s="40"/>
      <c r="H599" s="40"/>
      <c r="I599" s="57"/>
      <c r="J599" s="43"/>
      <c r="K599" s="40"/>
      <c r="L599" s="40"/>
      <c r="M599" s="41"/>
      <c r="N599" s="41"/>
      <c r="O599" s="41" t="s">
        <v>78</v>
      </c>
      <c r="P599" s="41" t="s">
        <v>78</v>
      </c>
      <c r="Q599" s="41"/>
      <c r="R599" s="41"/>
    </row>
    <row r="600">
      <c r="F600" s="40"/>
      <c r="H600" s="40"/>
      <c r="I600" s="57"/>
      <c r="J600" s="43"/>
      <c r="K600" s="40"/>
      <c r="L600" s="40"/>
      <c r="M600" s="41"/>
      <c r="N600" s="41"/>
      <c r="O600" s="41" t="s">
        <v>78</v>
      </c>
      <c r="P600" s="41" t="s">
        <v>78</v>
      </c>
      <c r="Q600" s="41"/>
      <c r="R600" s="41"/>
    </row>
    <row r="601">
      <c r="F601" s="40"/>
      <c r="H601" s="40"/>
      <c r="I601" s="57"/>
      <c r="J601" s="43"/>
      <c r="K601" s="40"/>
      <c r="L601" s="40"/>
      <c r="M601" s="41"/>
      <c r="N601" s="41"/>
      <c r="O601" s="41" t="s">
        <v>78</v>
      </c>
      <c r="P601" s="41" t="s">
        <v>78</v>
      </c>
      <c r="Q601" s="41"/>
      <c r="R601" s="41"/>
    </row>
    <row r="602">
      <c r="F602" s="40"/>
      <c r="H602" s="40"/>
      <c r="I602" s="57"/>
      <c r="J602" s="43"/>
      <c r="K602" s="40"/>
      <c r="L602" s="40"/>
      <c r="M602" s="41"/>
      <c r="N602" s="41"/>
      <c r="O602" s="41" t="s">
        <v>78</v>
      </c>
      <c r="P602" s="41" t="s">
        <v>78</v>
      </c>
      <c r="Q602" s="41"/>
      <c r="R602" s="41"/>
    </row>
    <row r="603">
      <c r="F603" s="40"/>
      <c r="H603" s="40"/>
      <c r="I603" s="57"/>
      <c r="J603" s="43"/>
      <c r="K603" s="40"/>
      <c r="L603" s="40"/>
      <c r="M603" s="41"/>
      <c r="N603" s="41"/>
      <c r="O603" s="41" t="s">
        <v>78</v>
      </c>
      <c r="P603" s="41" t="s">
        <v>78</v>
      </c>
      <c r="Q603" s="41"/>
      <c r="R603" s="41"/>
    </row>
    <row r="604">
      <c r="F604" s="40"/>
      <c r="H604" s="40"/>
      <c r="I604" s="57"/>
      <c r="J604" s="43"/>
      <c r="K604" s="40"/>
      <c r="L604" s="40"/>
      <c r="M604" s="41"/>
      <c r="N604" s="41"/>
      <c r="O604" s="41" t="s">
        <v>78</v>
      </c>
      <c r="P604" s="41" t="s">
        <v>78</v>
      </c>
      <c r="Q604" s="41"/>
      <c r="R604" s="41"/>
    </row>
    <row r="605">
      <c r="F605" s="40"/>
      <c r="H605" s="40"/>
      <c r="I605" s="57"/>
      <c r="J605" s="43"/>
      <c r="K605" s="40"/>
      <c r="L605" s="40"/>
      <c r="M605" s="41"/>
      <c r="N605" s="41"/>
      <c r="O605" s="41" t="s">
        <v>78</v>
      </c>
      <c r="P605" s="41" t="s">
        <v>78</v>
      </c>
      <c r="Q605" s="41"/>
      <c r="R605" s="41"/>
    </row>
    <row r="606">
      <c r="F606" s="40"/>
      <c r="H606" s="40"/>
      <c r="I606" s="57"/>
      <c r="J606" s="43"/>
      <c r="K606" s="40"/>
      <c r="L606" s="40"/>
      <c r="M606" s="41"/>
      <c r="N606" s="41"/>
      <c r="O606" s="41" t="s">
        <v>78</v>
      </c>
      <c r="P606" s="41" t="s">
        <v>78</v>
      </c>
      <c r="Q606" s="41"/>
      <c r="R606" s="41"/>
    </row>
    <row r="607">
      <c r="F607" s="40"/>
      <c r="H607" s="40"/>
      <c r="I607" s="57"/>
      <c r="J607" s="43"/>
      <c r="K607" s="40"/>
      <c r="L607" s="40"/>
      <c r="M607" s="41"/>
      <c r="N607" s="41"/>
      <c r="O607" s="41" t="s">
        <v>78</v>
      </c>
      <c r="P607" s="41" t="s">
        <v>78</v>
      </c>
      <c r="Q607" s="41"/>
      <c r="R607" s="41"/>
    </row>
    <row r="608">
      <c r="F608" s="40"/>
      <c r="H608" s="40"/>
      <c r="I608" s="57"/>
      <c r="J608" s="43"/>
      <c r="K608" s="40"/>
      <c r="L608" s="40"/>
      <c r="M608" s="41"/>
      <c r="N608" s="41"/>
      <c r="O608" s="41" t="s">
        <v>78</v>
      </c>
      <c r="P608" s="41" t="s">
        <v>78</v>
      </c>
      <c r="Q608" s="41"/>
      <c r="R608" s="41"/>
    </row>
    <row r="609">
      <c r="F609" s="40"/>
      <c r="H609" s="40"/>
      <c r="I609" s="57"/>
      <c r="J609" s="43"/>
      <c r="K609" s="40"/>
      <c r="L609" s="40"/>
      <c r="M609" s="41"/>
      <c r="N609" s="41"/>
      <c r="O609" s="41" t="s">
        <v>78</v>
      </c>
      <c r="P609" s="41" t="s">
        <v>78</v>
      </c>
      <c r="Q609" s="41"/>
      <c r="R609" s="41"/>
    </row>
    <row r="610">
      <c r="F610" s="40"/>
      <c r="H610" s="40"/>
      <c r="I610" s="57"/>
      <c r="J610" s="43"/>
      <c r="K610" s="40"/>
      <c r="L610" s="40"/>
      <c r="M610" s="41"/>
      <c r="N610" s="41"/>
      <c r="O610" s="41" t="s">
        <v>78</v>
      </c>
      <c r="P610" s="41" t="s">
        <v>78</v>
      </c>
      <c r="Q610" s="41"/>
      <c r="R610" s="41"/>
    </row>
    <row r="611">
      <c r="F611" s="40"/>
      <c r="H611" s="40"/>
      <c r="I611" s="57"/>
      <c r="J611" s="43"/>
      <c r="K611" s="40"/>
      <c r="L611" s="40"/>
      <c r="M611" s="41"/>
      <c r="N611" s="41"/>
      <c r="O611" s="41" t="s">
        <v>78</v>
      </c>
      <c r="P611" s="41" t="s">
        <v>78</v>
      </c>
      <c r="Q611" s="41"/>
      <c r="R611" s="41"/>
    </row>
    <row r="612">
      <c r="F612" s="40"/>
      <c r="H612" s="40"/>
      <c r="I612" s="57"/>
      <c r="J612" s="43"/>
      <c r="K612" s="40"/>
      <c r="L612" s="40"/>
      <c r="M612" s="41"/>
      <c r="N612" s="41"/>
      <c r="O612" s="41" t="s">
        <v>78</v>
      </c>
      <c r="P612" s="41" t="s">
        <v>78</v>
      </c>
      <c r="Q612" s="41"/>
      <c r="R612" s="41"/>
    </row>
    <row r="613">
      <c r="F613" s="40"/>
      <c r="H613" s="40"/>
      <c r="I613" s="57"/>
      <c r="J613" s="43"/>
      <c r="K613" s="40"/>
      <c r="L613" s="40"/>
      <c r="M613" s="41"/>
      <c r="N613" s="41"/>
      <c r="O613" s="41" t="s">
        <v>78</v>
      </c>
      <c r="P613" s="41" t="s">
        <v>78</v>
      </c>
      <c r="Q613" s="41"/>
      <c r="R613" s="41"/>
    </row>
    <row r="614">
      <c r="F614" s="40"/>
      <c r="H614" s="40"/>
      <c r="I614" s="57"/>
      <c r="J614" s="43"/>
      <c r="K614" s="40"/>
      <c r="L614" s="40"/>
      <c r="M614" s="41"/>
      <c r="N614" s="41"/>
      <c r="O614" s="41" t="s">
        <v>78</v>
      </c>
      <c r="P614" s="41" t="s">
        <v>78</v>
      </c>
      <c r="Q614" s="41"/>
      <c r="R614" s="41"/>
    </row>
    <row r="615">
      <c r="F615" s="40"/>
      <c r="H615" s="40"/>
      <c r="I615" s="57"/>
      <c r="J615" s="43"/>
      <c r="K615" s="40"/>
      <c r="L615" s="40"/>
      <c r="M615" s="41"/>
      <c r="N615" s="41"/>
      <c r="O615" s="41" t="s">
        <v>78</v>
      </c>
      <c r="P615" s="41" t="s">
        <v>78</v>
      </c>
      <c r="Q615" s="41"/>
      <c r="R615" s="41"/>
    </row>
    <row r="616">
      <c r="F616" s="40"/>
      <c r="H616" s="40"/>
      <c r="I616" s="57"/>
      <c r="J616" s="43"/>
      <c r="K616" s="40"/>
      <c r="L616" s="40"/>
      <c r="M616" s="41"/>
      <c r="N616" s="41"/>
      <c r="O616" s="41" t="s">
        <v>78</v>
      </c>
      <c r="P616" s="41" t="s">
        <v>78</v>
      </c>
      <c r="Q616" s="41"/>
      <c r="R616" s="41"/>
    </row>
    <row r="617">
      <c r="F617" s="40"/>
      <c r="H617" s="40"/>
      <c r="I617" s="57"/>
      <c r="J617" s="43"/>
      <c r="K617" s="40"/>
      <c r="L617" s="40"/>
      <c r="M617" s="41"/>
      <c r="N617" s="41"/>
      <c r="O617" s="41" t="s">
        <v>78</v>
      </c>
      <c r="P617" s="41" t="s">
        <v>78</v>
      </c>
      <c r="Q617" s="41"/>
      <c r="R617" s="41"/>
    </row>
    <row r="618">
      <c r="F618" s="40"/>
      <c r="H618" s="40"/>
      <c r="I618" s="57"/>
      <c r="J618" s="43"/>
      <c r="K618" s="40"/>
      <c r="L618" s="40"/>
      <c r="M618" s="41"/>
      <c r="N618" s="41"/>
      <c r="O618" s="41" t="s">
        <v>78</v>
      </c>
      <c r="P618" s="41" t="s">
        <v>78</v>
      </c>
      <c r="Q618" s="41"/>
      <c r="R618" s="41"/>
    </row>
    <row r="619">
      <c r="F619" s="40"/>
      <c r="H619" s="40"/>
      <c r="I619" s="57"/>
      <c r="J619" s="43"/>
      <c r="K619" s="40"/>
      <c r="L619" s="40"/>
      <c r="M619" s="41"/>
      <c r="N619" s="41"/>
      <c r="O619" s="41" t="s">
        <v>78</v>
      </c>
      <c r="P619" s="41" t="s">
        <v>78</v>
      </c>
      <c r="Q619" s="41"/>
      <c r="R619" s="41"/>
    </row>
    <row r="620">
      <c r="F620" s="40"/>
      <c r="H620" s="40"/>
      <c r="I620" s="57"/>
      <c r="J620" s="43"/>
      <c r="K620" s="40"/>
      <c r="L620" s="40"/>
      <c r="M620" s="41"/>
      <c r="N620" s="41"/>
      <c r="O620" s="41" t="s">
        <v>78</v>
      </c>
      <c r="P620" s="41" t="s">
        <v>78</v>
      </c>
      <c r="Q620" s="41"/>
      <c r="R620" s="41"/>
    </row>
    <row r="621">
      <c r="F621" s="40"/>
      <c r="H621" s="40"/>
      <c r="I621" s="57"/>
      <c r="J621" s="43"/>
      <c r="K621" s="40"/>
      <c r="L621" s="40"/>
      <c r="M621" s="41"/>
      <c r="N621" s="41"/>
      <c r="O621" s="41" t="s">
        <v>78</v>
      </c>
      <c r="P621" s="41" t="s">
        <v>78</v>
      </c>
      <c r="Q621" s="41"/>
      <c r="R621" s="41"/>
    </row>
    <row r="622">
      <c r="F622" s="40"/>
      <c r="H622" s="40"/>
      <c r="I622" s="57"/>
      <c r="J622" s="43"/>
      <c r="K622" s="40"/>
      <c r="L622" s="40"/>
      <c r="M622" s="41"/>
      <c r="N622" s="41"/>
      <c r="O622" s="41" t="s">
        <v>78</v>
      </c>
      <c r="P622" s="41" t="s">
        <v>78</v>
      </c>
      <c r="Q622" s="41"/>
      <c r="R622" s="41"/>
    </row>
    <row r="623">
      <c r="F623" s="40"/>
      <c r="H623" s="40"/>
      <c r="I623" s="57"/>
      <c r="J623" s="43"/>
      <c r="K623" s="40"/>
      <c r="L623" s="40"/>
      <c r="M623" s="41"/>
      <c r="N623" s="41"/>
      <c r="O623" s="41" t="s">
        <v>78</v>
      </c>
      <c r="P623" s="41" t="s">
        <v>78</v>
      </c>
      <c r="Q623" s="41"/>
      <c r="R623" s="41"/>
    </row>
    <row r="624">
      <c r="F624" s="40"/>
      <c r="H624" s="40"/>
      <c r="I624" s="57"/>
      <c r="J624" s="43"/>
      <c r="K624" s="40"/>
      <c r="L624" s="40"/>
      <c r="M624" s="41"/>
      <c r="N624" s="41"/>
      <c r="O624" s="41" t="s">
        <v>78</v>
      </c>
      <c r="P624" s="41" t="s">
        <v>78</v>
      </c>
      <c r="Q624" s="41"/>
      <c r="R624" s="41"/>
    </row>
    <row r="625">
      <c r="F625" s="40"/>
      <c r="H625" s="40"/>
      <c r="I625" s="57"/>
      <c r="J625" s="43"/>
      <c r="K625" s="40"/>
      <c r="L625" s="40"/>
      <c r="M625" s="41"/>
      <c r="N625" s="41"/>
      <c r="O625" s="41" t="s">
        <v>78</v>
      </c>
      <c r="P625" s="41" t="s">
        <v>78</v>
      </c>
      <c r="Q625" s="41"/>
      <c r="R625" s="41"/>
    </row>
    <row r="626">
      <c r="F626" s="40"/>
      <c r="H626" s="40"/>
      <c r="I626" s="57"/>
      <c r="J626" s="43"/>
      <c r="K626" s="40"/>
      <c r="L626" s="40"/>
      <c r="M626" s="41"/>
      <c r="N626" s="41"/>
      <c r="O626" s="41" t="s">
        <v>78</v>
      </c>
      <c r="P626" s="41" t="s">
        <v>78</v>
      </c>
      <c r="Q626" s="41"/>
      <c r="R626" s="41"/>
    </row>
    <row r="627">
      <c r="F627" s="40"/>
      <c r="H627" s="40"/>
      <c r="I627" s="57"/>
      <c r="J627" s="43"/>
      <c r="K627" s="40"/>
      <c r="L627" s="40"/>
      <c r="M627" s="41"/>
      <c r="N627" s="41"/>
      <c r="O627" s="41" t="s">
        <v>78</v>
      </c>
      <c r="P627" s="41" t="s">
        <v>78</v>
      </c>
      <c r="Q627" s="41"/>
      <c r="R627" s="41"/>
    </row>
    <row r="628">
      <c r="F628" s="40"/>
      <c r="H628" s="40"/>
      <c r="I628" s="57"/>
      <c r="J628" s="43"/>
      <c r="K628" s="40"/>
      <c r="L628" s="40"/>
      <c r="M628" s="41"/>
      <c r="N628" s="41"/>
      <c r="O628" s="41" t="s">
        <v>78</v>
      </c>
      <c r="P628" s="41" t="s">
        <v>78</v>
      </c>
      <c r="Q628" s="41"/>
      <c r="R628" s="41"/>
    </row>
    <row r="629">
      <c r="F629" s="40"/>
      <c r="H629" s="40"/>
      <c r="I629" s="57"/>
      <c r="J629" s="43"/>
      <c r="K629" s="40"/>
      <c r="L629" s="40"/>
      <c r="M629" s="41"/>
      <c r="N629" s="41"/>
      <c r="O629" s="41" t="s">
        <v>78</v>
      </c>
      <c r="P629" s="41" t="s">
        <v>78</v>
      </c>
      <c r="Q629" s="41"/>
      <c r="R629" s="41"/>
    </row>
    <row r="630">
      <c r="F630" s="40"/>
      <c r="H630" s="40"/>
      <c r="I630" s="57"/>
      <c r="J630" s="43"/>
      <c r="K630" s="40"/>
      <c r="L630" s="40"/>
      <c r="M630" s="41"/>
      <c r="N630" s="41"/>
      <c r="O630" s="41" t="s">
        <v>78</v>
      </c>
      <c r="P630" s="41" t="s">
        <v>78</v>
      </c>
      <c r="Q630" s="41"/>
      <c r="R630" s="41"/>
    </row>
    <row r="631">
      <c r="F631" s="40"/>
      <c r="H631" s="40"/>
      <c r="I631" s="57"/>
      <c r="J631" s="43"/>
      <c r="K631" s="40"/>
      <c r="L631" s="40"/>
      <c r="M631" s="41"/>
      <c r="N631" s="41"/>
      <c r="O631" s="41" t="s">
        <v>78</v>
      </c>
      <c r="P631" s="41" t="s">
        <v>78</v>
      </c>
      <c r="Q631" s="41"/>
      <c r="R631" s="41"/>
    </row>
    <row r="632">
      <c r="F632" s="40"/>
      <c r="H632" s="40"/>
      <c r="I632" s="57"/>
      <c r="J632" s="43"/>
      <c r="K632" s="40"/>
      <c r="L632" s="40"/>
      <c r="M632" s="41"/>
      <c r="N632" s="41"/>
      <c r="O632" s="41" t="s">
        <v>78</v>
      </c>
      <c r="P632" s="41" t="s">
        <v>78</v>
      </c>
      <c r="Q632" s="41"/>
      <c r="R632" s="41"/>
    </row>
    <row r="633">
      <c r="F633" s="40"/>
      <c r="H633" s="40"/>
      <c r="I633" s="57"/>
      <c r="J633" s="43"/>
      <c r="K633" s="40"/>
      <c r="L633" s="40"/>
      <c r="M633" s="41"/>
      <c r="N633" s="41"/>
      <c r="O633" s="41" t="s">
        <v>78</v>
      </c>
      <c r="P633" s="41" t="s">
        <v>78</v>
      </c>
      <c r="Q633" s="41"/>
      <c r="R633" s="41"/>
    </row>
    <row r="634">
      <c r="F634" s="40"/>
      <c r="H634" s="40"/>
      <c r="I634" s="57"/>
      <c r="J634" s="43"/>
      <c r="K634" s="40"/>
      <c r="L634" s="40"/>
      <c r="M634" s="41"/>
      <c r="N634" s="41"/>
      <c r="O634" s="41" t="s">
        <v>78</v>
      </c>
      <c r="P634" s="41" t="s">
        <v>78</v>
      </c>
      <c r="Q634" s="41"/>
      <c r="R634" s="41"/>
    </row>
    <row r="635">
      <c r="F635" s="40"/>
      <c r="H635" s="40"/>
      <c r="I635" s="57"/>
      <c r="J635" s="43"/>
      <c r="K635" s="40"/>
      <c r="L635" s="40"/>
      <c r="M635" s="41"/>
      <c r="N635" s="41"/>
      <c r="O635" s="41" t="s">
        <v>78</v>
      </c>
      <c r="P635" s="41" t="s">
        <v>78</v>
      </c>
      <c r="Q635" s="41"/>
      <c r="R635" s="41"/>
    </row>
    <row r="636">
      <c r="F636" s="40"/>
      <c r="H636" s="40"/>
      <c r="I636" s="57"/>
      <c r="J636" s="43"/>
      <c r="K636" s="40"/>
      <c r="L636" s="40"/>
      <c r="M636" s="41"/>
      <c r="N636" s="41"/>
      <c r="O636" s="41" t="s">
        <v>78</v>
      </c>
      <c r="P636" s="41" t="s">
        <v>78</v>
      </c>
      <c r="Q636" s="41"/>
      <c r="R636" s="41"/>
    </row>
    <row r="637">
      <c r="F637" s="40"/>
      <c r="H637" s="40"/>
      <c r="I637" s="57"/>
      <c r="J637" s="43"/>
      <c r="K637" s="40"/>
      <c r="L637" s="40"/>
      <c r="M637" s="41"/>
      <c r="N637" s="41"/>
      <c r="O637" s="41" t="s">
        <v>78</v>
      </c>
      <c r="P637" s="41" t="s">
        <v>78</v>
      </c>
      <c r="Q637" s="41"/>
      <c r="R637" s="41"/>
    </row>
    <row r="638">
      <c r="F638" s="40"/>
      <c r="H638" s="40"/>
      <c r="I638" s="57"/>
      <c r="J638" s="43"/>
      <c r="K638" s="40"/>
      <c r="L638" s="40"/>
      <c r="M638" s="41"/>
      <c r="N638" s="41"/>
      <c r="O638" s="41" t="s">
        <v>78</v>
      </c>
      <c r="P638" s="41" t="s">
        <v>78</v>
      </c>
      <c r="Q638" s="41"/>
      <c r="R638" s="41"/>
    </row>
    <row r="639">
      <c r="F639" s="40"/>
      <c r="H639" s="40"/>
      <c r="I639" s="57"/>
      <c r="J639" s="43"/>
      <c r="K639" s="40"/>
      <c r="L639" s="40"/>
      <c r="M639" s="41"/>
      <c r="N639" s="41"/>
      <c r="O639" s="41" t="s">
        <v>78</v>
      </c>
      <c r="P639" s="41" t="s">
        <v>78</v>
      </c>
      <c r="Q639" s="41"/>
      <c r="R639" s="41"/>
    </row>
    <row r="640">
      <c r="F640" s="40"/>
      <c r="H640" s="40"/>
      <c r="I640" s="57"/>
      <c r="J640" s="43"/>
      <c r="K640" s="40"/>
      <c r="L640" s="40"/>
      <c r="M640" s="41"/>
      <c r="N640" s="41"/>
      <c r="O640" s="41" t="s">
        <v>78</v>
      </c>
      <c r="P640" s="41" t="s">
        <v>78</v>
      </c>
      <c r="Q640" s="41"/>
      <c r="R640" s="41"/>
    </row>
    <row r="641">
      <c r="F641" s="40"/>
      <c r="H641" s="40"/>
      <c r="I641" s="57"/>
      <c r="J641" s="43"/>
      <c r="K641" s="40"/>
      <c r="L641" s="40"/>
      <c r="M641" s="41"/>
      <c r="N641" s="41"/>
      <c r="O641" s="41" t="s">
        <v>78</v>
      </c>
      <c r="P641" s="41" t="s">
        <v>78</v>
      </c>
      <c r="Q641" s="41"/>
      <c r="R641" s="41"/>
    </row>
    <row r="642">
      <c r="F642" s="40"/>
      <c r="H642" s="40"/>
      <c r="I642" s="57"/>
      <c r="J642" s="43"/>
      <c r="K642" s="40"/>
      <c r="L642" s="40"/>
      <c r="M642" s="41"/>
      <c r="N642" s="41"/>
      <c r="O642" s="41" t="s">
        <v>78</v>
      </c>
      <c r="P642" s="41" t="s">
        <v>78</v>
      </c>
      <c r="Q642" s="41"/>
      <c r="R642" s="41"/>
    </row>
    <row r="643">
      <c r="F643" s="40"/>
      <c r="H643" s="40"/>
      <c r="I643" s="57"/>
      <c r="J643" s="43"/>
      <c r="K643" s="40"/>
      <c r="L643" s="40"/>
      <c r="M643" s="41"/>
      <c r="N643" s="41"/>
      <c r="O643" s="41" t="s">
        <v>78</v>
      </c>
      <c r="P643" s="41" t="s">
        <v>78</v>
      </c>
      <c r="Q643" s="41"/>
      <c r="R643" s="41"/>
    </row>
    <row r="644">
      <c r="F644" s="40"/>
      <c r="H644" s="40"/>
      <c r="I644" s="57"/>
      <c r="J644" s="43"/>
      <c r="K644" s="40"/>
      <c r="L644" s="40"/>
      <c r="M644" s="41"/>
      <c r="N644" s="41"/>
      <c r="O644" s="41" t="s">
        <v>78</v>
      </c>
      <c r="P644" s="41" t="s">
        <v>78</v>
      </c>
      <c r="Q644" s="41"/>
      <c r="R644" s="41"/>
    </row>
    <row r="645">
      <c r="F645" s="40"/>
      <c r="H645" s="40"/>
      <c r="I645" s="57"/>
      <c r="J645" s="43"/>
      <c r="K645" s="40"/>
      <c r="L645" s="40"/>
      <c r="M645" s="41"/>
      <c r="N645" s="41"/>
      <c r="O645" s="41" t="s">
        <v>78</v>
      </c>
      <c r="P645" s="41" t="s">
        <v>78</v>
      </c>
      <c r="Q645" s="41"/>
      <c r="R645" s="41"/>
    </row>
    <row r="646">
      <c r="F646" s="40"/>
      <c r="H646" s="40"/>
      <c r="I646" s="57"/>
      <c r="J646" s="43"/>
      <c r="K646" s="40"/>
      <c r="L646" s="40"/>
      <c r="M646" s="41"/>
      <c r="N646" s="41"/>
      <c r="O646" s="41" t="s">
        <v>78</v>
      </c>
      <c r="P646" s="41" t="s">
        <v>78</v>
      </c>
      <c r="Q646" s="41"/>
      <c r="R646" s="41"/>
    </row>
    <row r="647">
      <c r="F647" s="40"/>
      <c r="H647" s="40"/>
      <c r="I647" s="57"/>
      <c r="J647" s="43"/>
      <c r="K647" s="40"/>
      <c r="L647" s="40"/>
      <c r="M647" s="41"/>
      <c r="N647" s="41"/>
      <c r="O647" s="41" t="s">
        <v>78</v>
      </c>
      <c r="P647" s="41" t="s">
        <v>78</v>
      </c>
      <c r="Q647" s="41"/>
      <c r="R647" s="41"/>
    </row>
    <row r="648">
      <c r="F648" s="40"/>
      <c r="H648" s="40"/>
      <c r="I648" s="57"/>
      <c r="J648" s="43"/>
      <c r="K648" s="40"/>
      <c r="L648" s="40"/>
      <c r="M648" s="41"/>
      <c r="N648" s="41"/>
      <c r="O648" s="41" t="s">
        <v>78</v>
      </c>
      <c r="P648" s="41" t="s">
        <v>78</v>
      </c>
      <c r="Q648" s="41"/>
      <c r="R648" s="41"/>
    </row>
    <row r="649">
      <c r="F649" s="40"/>
      <c r="H649" s="40"/>
      <c r="I649" s="57"/>
      <c r="J649" s="43"/>
      <c r="K649" s="40"/>
      <c r="L649" s="40"/>
      <c r="M649" s="41"/>
      <c r="N649" s="41"/>
      <c r="O649" s="41" t="s">
        <v>78</v>
      </c>
      <c r="P649" s="41" t="s">
        <v>78</v>
      </c>
      <c r="Q649" s="41"/>
      <c r="R649" s="41"/>
    </row>
    <row r="650">
      <c r="F650" s="40"/>
      <c r="H650" s="40"/>
      <c r="I650" s="57"/>
      <c r="J650" s="43"/>
      <c r="K650" s="40"/>
      <c r="L650" s="40"/>
      <c r="M650" s="41"/>
      <c r="N650" s="41"/>
      <c r="O650" s="41" t="s">
        <v>78</v>
      </c>
      <c r="P650" s="41" t="s">
        <v>78</v>
      </c>
      <c r="Q650" s="41"/>
      <c r="R650" s="41"/>
    </row>
    <row r="651">
      <c r="F651" s="40"/>
      <c r="H651" s="40"/>
      <c r="I651" s="57"/>
      <c r="J651" s="43"/>
      <c r="K651" s="40"/>
      <c r="L651" s="40"/>
      <c r="M651" s="41"/>
      <c r="N651" s="41"/>
      <c r="O651" s="41" t="s">
        <v>78</v>
      </c>
      <c r="P651" s="41" t="s">
        <v>78</v>
      </c>
      <c r="Q651" s="41"/>
      <c r="R651" s="41"/>
    </row>
    <row r="652">
      <c r="F652" s="40"/>
      <c r="H652" s="40"/>
      <c r="I652" s="57"/>
      <c r="J652" s="43"/>
      <c r="K652" s="40"/>
      <c r="L652" s="40"/>
      <c r="M652" s="41"/>
      <c r="N652" s="41"/>
      <c r="O652" s="41" t="s">
        <v>78</v>
      </c>
      <c r="P652" s="41" t="s">
        <v>78</v>
      </c>
      <c r="Q652" s="41"/>
      <c r="R652" s="41"/>
    </row>
    <row r="653">
      <c r="F653" s="40"/>
      <c r="H653" s="40"/>
      <c r="I653" s="57"/>
      <c r="J653" s="43"/>
      <c r="K653" s="40"/>
      <c r="L653" s="40"/>
      <c r="M653" s="41"/>
      <c r="N653" s="41"/>
      <c r="O653" s="41" t="s">
        <v>78</v>
      </c>
      <c r="P653" s="41" t="s">
        <v>78</v>
      </c>
      <c r="Q653" s="41"/>
      <c r="R653" s="41"/>
    </row>
    <row r="654">
      <c r="F654" s="40"/>
      <c r="H654" s="40"/>
      <c r="I654" s="57"/>
      <c r="J654" s="43"/>
      <c r="K654" s="40"/>
      <c r="L654" s="40"/>
      <c r="M654" s="41"/>
      <c r="N654" s="41"/>
      <c r="O654" s="41" t="s">
        <v>78</v>
      </c>
      <c r="P654" s="41" t="s">
        <v>78</v>
      </c>
      <c r="Q654" s="41"/>
      <c r="R654" s="41"/>
    </row>
    <row r="655">
      <c r="F655" s="40"/>
      <c r="H655" s="40"/>
      <c r="I655" s="57"/>
      <c r="J655" s="43"/>
      <c r="K655" s="40"/>
      <c r="L655" s="40"/>
      <c r="M655" s="41"/>
      <c r="N655" s="41"/>
      <c r="O655" s="41" t="s">
        <v>78</v>
      </c>
      <c r="P655" s="41" t="s">
        <v>78</v>
      </c>
      <c r="Q655" s="41"/>
      <c r="R655" s="41"/>
    </row>
    <row r="656">
      <c r="F656" s="40"/>
      <c r="H656" s="40"/>
      <c r="I656" s="57"/>
      <c r="J656" s="43"/>
      <c r="K656" s="40"/>
      <c r="L656" s="40"/>
      <c r="M656" s="41"/>
      <c r="N656" s="41"/>
      <c r="O656" s="41" t="s">
        <v>78</v>
      </c>
      <c r="P656" s="41" t="s">
        <v>78</v>
      </c>
      <c r="Q656" s="41"/>
      <c r="R656" s="41"/>
    </row>
    <row r="657">
      <c r="F657" s="40"/>
      <c r="H657" s="40"/>
      <c r="I657" s="57"/>
      <c r="J657" s="43"/>
      <c r="K657" s="40"/>
      <c r="L657" s="40"/>
      <c r="M657" s="41"/>
      <c r="N657" s="41"/>
      <c r="O657" s="41" t="s">
        <v>78</v>
      </c>
      <c r="P657" s="41" t="s">
        <v>78</v>
      </c>
      <c r="Q657" s="41"/>
      <c r="R657" s="41"/>
    </row>
    <row r="658">
      <c r="F658" s="40"/>
      <c r="H658" s="40"/>
      <c r="I658" s="57"/>
      <c r="J658" s="43"/>
      <c r="K658" s="40"/>
      <c r="L658" s="40"/>
      <c r="M658" s="41"/>
      <c r="N658" s="41"/>
      <c r="O658" s="41" t="s">
        <v>78</v>
      </c>
      <c r="P658" s="41" t="s">
        <v>78</v>
      </c>
      <c r="Q658" s="41"/>
      <c r="R658" s="41"/>
    </row>
    <row r="659">
      <c r="F659" s="40"/>
      <c r="H659" s="40"/>
      <c r="I659" s="57"/>
      <c r="J659" s="43"/>
      <c r="K659" s="40"/>
      <c r="L659" s="40"/>
      <c r="M659" s="41"/>
      <c r="N659" s="41"/>
      <c r="O659" s="41" t="s">
        <v>78</v>
      </c>
      <c r="P659" s="41" t="s">
        <v>78</v>
      </c>
      <c r="Q659" s="41"/>
      <c r="R659" s="41"/>
    </row>
    <row r="660">
      <c r="F660" s="40"/>
      <c r="H660" s="40"/>
      <c r="I660" s="57"/>
      <c r="J660" s="43"/>
      <c r="K660" s="40"/>
      <c r="L660" s="40"/>
      <c r="M660" s="41"/>
      <c r="N660" s="41"/>
      <c r="O660" s="41" t="s">
        <v>78</v>
      </c>
      <c r="P660" s="41" t="s">
        <v>78</v>
      </c>
      <c r="Q660" s="41"/>
      <c r="R660" s="41"/>
    </row>
    <row r="661">
      <c r="F661" s="40"/>
      <c r="H661" s="40"/>
      <c r="I661" s="57"/>
      <c r="J661" s="43"/>
      <c r="K661" s="40"/>
      <c r="L661" s="40"/>
      <c r="M661" s="41"/>
      <c r="N661" s="41"/>
      <c r="O661" s="41" t="s">
        <v>78</v>
      </c>
      <c r="P661" s="41" t="s">
        <v>78</v>
      </c>
      <c r="Q661" s="41"/>
      <c r="R661" s="41"/>
    </row>
    <row r="662">
      <c r="F662" s="40"/>
      <c r="H662" s="40"/>
      <c r="I662" s="57"/>
      <c r="J662" s="43"/>
      <c r="K662" s="40"/>
      <c r="L662" s="40"/>
      <c r="M662" s="41"/>
      <c r="N662" s="41"/>
      <c r="O662" s="41" t="s">
        <v>78</v>
      </c>
      <c r="P662" s="41" t="s">
        <v>78</v>
      </c>
      <c r="Q662" s="41"/>
      <c r="R662" s="41"/>
    </row>
    <row r="663">
      <c r="F663" s="40"/>
      <c r="H663" s="40"/>
      <c r="I663" s="57"/>
      <c r="J663" s="43"/>
      <c r="K663" s="40"/>
      <c r="L663" s="40"/>
      <c r="M663" s="41"/>
      <c r="N663" s="41"/>
      <c r="O663" s="41" t="s">
        <v>78</v>
      </c>
      <c r="P663" s="41" t="s">
        <v>78</v>
      </c>
      <c r="Q663" s="41"/>
      <c r="R663" s="41"/>
    </row>
    <row r="664">
      <c r="F664" s="40"/>
      <c r="H664" s="40"/>
      <c r="I664" s="57"/>
      <c r="J664" s="43"/>
      <c r="K664" s="40"/>
      <c r="L664" s="40"/>
      <c r="M664" s="41"/>
      <c r="N664" s="41"/>
      <c r="O664" s="41" t="s">
        <v>78</v>
      </c>
      <c r="P664" s="41" t="s">
        <v>78</v>
      </c>
      <c r="Q664" s="41"/>
      <c r="R664" s="41"/>
    </row>
    <row r="665">
      <c r="F665" s="40"/>
      <c r="H665" s="40"/>
      <c r="I665" s="57"/>
      <c r="J665" s="43"/>
      <c r="K665" s="40"/>
      <c r="L665" s="40"/>
      <c r="M665" s="41"/>
      <c r="N665" s="41"/>
      <c r="O665" s="41" t="s">
        <v>78</v>
      </c>
      <c r="P665" s="41" t="s">
        <v>78</v>
      </c>
      <c r="Q665" s="41"/>
      <c r="R665" s="41"/>
    </row>
    <row r="666">
      <c r="F666" s="40"/>
      <c r="H666" s="40"/>
      <c r="I666" s="57"/>
      <c r="J666" s="43"/>
      <c r="K666" s="40"/>
      <c r="L666" s="40"/>
      <c r="M666" s="41"/>
      <c r="N666" s="41"/>
      <c r="O666" s="41" t="s">
        <v>78</v>
      </c>
      <c r="P666" s="41" t="s">
        <v>78</v>
      </c>
      <c r="Q666" s="41"/>
      <c r="R666" s="41"/>
    </row>
    <row r="667">
      <c r="F667" s="40"/>
      <c r="H667" s="40"/>
      <c r="I667" s="57"/>
      <c r="J667" s="43"/>
      <c r="K667" s="40"/>
      <c r="L667" s="40"/>
      <c r="M667" s="41"/>
      <c r="N667" s="41"/>
      <c r="O667" s="41" t="s">
        <v>78</v>
      </c>
      <c r="P667" s="41" t="s">
        <v>78</v>
      </c>
      <c r="Q667" s="41"/>
      <c r="R667" s="41"/>
    </row>
    <row r="668">
      <c r="F668" s="40"/>
      <c r="H668" s="40"/>
      <c r="I668" s="57"/>
      <c r="J668" s="43"/>
      <c r="K668" s="40"/>
      <c r="L668" s="40"/>
      <c r="M668" s="41"/>
      <c r="N668" s="41"/>
      <c r="O668" s="41" t="s">
        <v>78</v>
      </c>
      <c r="P668" s="41" t="s">
        <v>78</v>
      </c>
      <c r="Q668" s="41"/>
      <c r="R668" s="41"/>
    </row>
    <row r="669">
      <c r="F669" s="40"/>
      <c r="H669" s="40"/>
      <c r="I669" s="57"/>
      <c r="J669" s="43"/>
      <c r="K669" s="40"/>
      <c r="L669" s="40"/>
      <c r="M669" s="41"/>
      <c r="N669" s="41"/>
      <c r="O669" s="41" t="s">
        <v>78</v>
      </c>
      <c r="P669" s="41" t="s">
        <v>78</v>
      </c>
      <c r="Q669" s="41"/>
      <c r="R669" s="41"/>
    </row>
    <row r="670">
      <c r="F670" s="40"/>
      <c r="H670" s="40"/>
      <c r="I670" s="57"/>
      <c r="J670" s="43"/>
      <c r="K670" s="40"/>
      <c r="L670" s="40"/>
      <c r="M670" s="41"/>
      <c r="N670" s="41"/>
      <c r="O670" s="41" t="s">
        <v>78</v>
      </c>
      <c r="P670" s="41" t="s">
        <v>78</v>
      </c>
      <c r="Q670" s="41"/>
      <c r="R670" s="41"/>
    </row>
    <row r="671">
      <c r="F671" s="40"/>
      <c r="H671" s="40"/>
      <c r="I671" s="57"/>
      <c r="J671" s="43"/>
      <c r="K671" s="40"/>
      <c r="L671" s="40"/>
      <c r="M671" s="41"/>
      <c r="N671" s="41"/>
      <c r="O671" s="41" t="s">
        <v>78</v>
      </c>
      <c r="P671" s="41" t="s">
        <v>78</v>
      </c>
      <c r="Q671" s="41"/>
      <c r="R671" s="41"/>
    </row>
    <row r="672">
      <c r="F672" s="40"/>
      <c r="H672" s="40"/>
      <c r="I672" s="57"/>
      <c r="J672" s="43"/>
      <c r="K672" s="40"/>
      <c r="L672" s="40"/>
      <c r="M672" s="41"/>
      <c r="N672" s="41"/>
      <c r="O672" s="41" t="s">
        <v>78</v>
      </c>
      <c r="P672" s="41" t="s">
        <v>78</v>
      </c>
      <c r="Q672" s="41"/>
      <c r="R672" s="41"/>
    </row>
    <row r="673">
      <c r="F673" s="40"/>
      <c r="H673" s="40"/>
      <c r="I673" s="57"/>
      <c r="J673" s="43"/>
      <c r="K673" s="40"/>
      <c r="L673" s="40"/>
      <c r="M673" s="41"/>
      <c r="N673" s="41"/>
      <c r="O673" s="41" t="s">
        <v>78</v>
      </c>
      <c r="P673" s="41" t="s">
        <v>78</v>
      </c>
      <c r="Q673" s="41"/>
      <c r="R673" s="41"/>
    </row>
    <row r="674">
      <c r="F674" s="40"/>
      <c r="H674" s="40"/>
      <c r="I674" s="57"/>
      <c r="J674" s="43"/>
      <c r="K674" s="40"/>
      <c r="L674" s="40"/>
      <c r="M674" s="41"/>
      <c r="N674" s="41"/>
      <c r="O674" s="41" t="s">
        <v>78</v>
      </c>
      <c r="P674" s="41" t="s">
        <v>78</v>
      </c>
      <c r="Q674" s="41"/>
      <c r="R674" s="41"/>
    </row>
    <row r="675">
      <c r="F675" s="40"/>
      <c r="H675" s="40"/>
      <c r="I675" s="57"/>
      <c r="J675" s="43"/>
      <c r="K675" s="40"/>
      <c r="L675" s="40"/>
      <c r="M675" s="41"/>
      <c r="N675" s="41"/>
      <c r="O675" s="41" t="s">
        <v>78</v>
      </c>
      <c r="P675" s="41" t="s">
        <v>78</v>
      </c>
      <c r="Q675" s="41"/>
      <c r="R675" s="41"/>
    </row>
    <row r="676">
      <c r="F676" s="40"/>
      <c r="H676" s="40"/>
      <c r="I676" s="57"/>
      <c r="J676" s="43"/>
      <c r="K676" s="40"/>
      <c r="L676" s="40"/>
      <c r="M676" s="41"/>
      <c r="N676" s="41"/>
      <c r="O676" s="41" t="s">
        <v>78</v>
      </c>
      <c r="P676" s="41" t="s">
        <v>78</v>
      </c>
      <c r="Q676" s="41"/>
      <c r="R676" s="41"/>
    </row>
    <row r="677">
      <c r="F677" s="40"/>
      <c r="H677" s="40"/>
      <c r="I677" s="57"/>
      <c r="J677" s="43"/>
      <c r="K677" s="40"/>
      <c r="L677" s="40"/>
      <c r="M677" s="41"/>
      <c r="N677" s="41"/>
      <c r="O677" s="41" t="s">
        <v>78</v>
      </c>
      <c r="P677" s="41" t="s">
        <v>78</v>
      </c>
      <c r="Q677" s="41"/>
      <c r="R677" s="41"/>
    </row>
    <row r="678">
      <c r="F678" s="40"/>
      <c r="H678" s="40"/>
      <c r="I678" s="57"/>
      <c r="J678" s="43"/>
      <c r="K678" s="40"/>
      <c r="L678" s="40"/>
      <c r="M678" s="41"/>
      <c r="N678" s="41"/>
      <c r="O678" s="41" t="s">
        <v>78</v>
      </c>
      <c r="P678" s="41" t="s">
        <v>78</v>
      </c>
      <c r="Q678" s="41"/>
      <c r="R678" s="41"/>
    </row>
    <row r="679">
      <c r="F679" s="40"/>
      <c r="H679" s="40"/>
      <c r="I679" s="57"/>
      <c r="J679" s="43"/>
      <c r="K679" s="40"/>
      <c r="L679" s="40"/>
      <c r="M679" s="41"/>
      <c r="N679" s="41"/>
      <c r="O679" s="41" t="s">
        <v>78</v>
      </c>
      <c r="P679" s="41" t="s">
        <v>78</v>
      </c>
      <c r="Q679" s="41"/>
      <c r="R679" s="41"/>
    </row>
    <row r="680">
      <c r="F680" s="40"/>
      <c r="H680" s="40"/>
      <c r="I680" s="57"/>
      <c r="J680" s="43"/>
      <c r="K680" s="40"/>
      <c r="L680" s="40"/>
      <c r="M680" s="41"/>
      <c r="N680" s="41"/>
      <c r="O680" s="41" t="s">
        <v>78</v>
      </c>
      <c r="P680" s="41" t="s">
        <v>78</v>
      </c>
      <c r="Q680" s="41"/>
      <c r="R680" s="41"/>
    </row>
    <row r="681">
      <c r="F681" s="40"/>
      <c r="H681" s="40"/>
      <c r="I681" s="57"/>
      <c r="J681" s="43"/>
      <c r="K681" s="40"/>
      <c r="L681" s="40"/>
      <c r="M681" s="41"/>
      <c r="N681" s="41"/>
      <c r="O681" s="41" t="s">
        <v>78</v>
      </c>
      <c r="P681" s="41" t="s">
        <v>78</v>
      </c>
      <c r="Q681" s="41"/>
      <c r="R681" s="41"/>
    </row>
    <row r="682">
      <c r="F682" s="40"/>
      <c r="H682" s="40"/>
      <c r="I682" s="57"/>
      <c r="J682" s="43"/>
      <c r="K682" s="40"/>
      <c r="L682" s="40"/>
      <c r="M682" s="41"/>
      <c r="N682" s="41"/>
      <c r="O682" s="41" t="s">
        <v>78</v>
      </c>
      <c r="P682" s="41" t="s">
        <v>78</v>
      </c>
      <c r="Q682" s="41"/>
      <c r="R682" s="41"/>
    </row>
    <row r="683">
      <c r="F683" s="40"/>
      <c r="H683" s="40"/>
      <c r="I683" s="57"/>
      <c r="J683" s="43"/>
      <c r="K683" s="40"/>
      <c r="L683" s="40"/>
      <c r="M683" s="41"/>
      <c r="N683" s="41"/>
      <c r="O683" s="41" t="s">
        <v>78</v>
      </c>
      <c r="P683" s="41" t="s">
        <v>78</v>
      </c>
      <c r="Q683" s="41"/>
      <c r="R683" s="41"/>
    </row>
    <row r="684">
      <c r="F684" s="40"/>
      <c r="H684" s="40"/>
      <c r="I684" s="57"/>
      <c r="J684" s="43"/>
      <c r="K684" s="40"/>
      <c r="L684" s="40"/>
      <c r="M684" s="41"/>
      <c r="N684" s="41"/>
      <c r="O684" s="41" t="s">
        <v>78</v>
      </c>
      <c r="P684" s="41" t="s">
        <v>78</v>
      </c>
      <c r="Q684" s="41"/>
      <c r="R684" s="41"/>
    </row>
    <row r="685">
      <c r="F685" s="40"/>
      <c r="H685" s="40"/>
      <c r="I685" s="57"/>
      <c r="J685" s="43"/>
      <c r="K685" s="40"/>
      <c r="L685" s="40"/>
      <c r="M685" s="41"/>
      <c r="N685" s="41"/>
      <c r="O685" s="41" t="s">
        <v>78</v>
      </c>
      <c r="P685" s="41" t="s">
        <v>78</v>
      </c>
      <c r="Q685" s="41"/>
      <c r="R685" s="41"/>
    </row>
    <row r="686">
      <c r="F686" s="40"/>
      <c r="H686" s="40"/>
      <c r="I686" s="57"/>
      <c r="J686" s="43"/>
      <c r="K686" s="40"/>
      <c r="L686" s="40"/>
      <c r="M686" s="41"/>
      <c r="N686" s="41"/>
      <c r="O686" s="41" t="s">
        <v>78</v>
      </c>
      <c r="P686" s="41" t="s">
        <v>78</v>
      </c>
      <c r="Q686" s="41"/>
      <c r="R686" s="41"/>
    </row>
    <row r="687">
      <c r="F687" s="40"/>
      <c r="H687" s="40"/>
      <c r="I687" s="57"/>
      <c r="J687" s="43"/>
      <c r="K687" s="40"/>
      <c r="L687" s="40"/>
      <c r="M687" s="41"/>
      <c r="N687" s="41"/>
      <c r="O687" s="41" t="s">
        <v>78</v>
      </c>
      <c r="P687" s="41" t="s">
        <v>78</v>
      </c>
      <c r="Q687" s="41"/>
      <c r="R687" s="41"/>
    </row>
    <row r="688">
      <c r="F688" s="40"/>
      <c r="H688" s="40"/>
      <c r="I688" s="57"/>
      <c r="J688" s="43"/>
      <c r="K688" s="40"/>
      <c r="L688" s="40"/>
      <c r="M688" s="41"/>
      <c r="N688" s="41"/>
      <c r="O688" s="41" t="s">
        <v>78</v>
      </c>
      <c r="P688" s="41" t="s">
        <v>78</v>
      </c>
      <c r="Q688" s="41"/>
      <c r="R688" s="41"/>
    </row>
    <row r="689">
      <c r="F689" s="40"/>
      <c r="H689" s="40"/>
      <c r="I689" s="57"/>
      <c r="J689" s="43"/>
      <c r="K689" s="40"/>
      <c r="L689" s="40"/>
      <c r="M689" s="41"/>
      <c r="N689" s="41"/>
      <c r="O689" s="41" t="s">
        <v>78</v>
      </c>
      <c r="P689" s="41" t="s">
        <v>78</v>
      </c>
      <c r="Q689" s="41"/>
      <c r="R689" s="41"/>
    </row>
    <row r="690">
      <c r="F690" s="40"/>
      <c r="H690" s="40"/>
      <c r="I690" s="57"/>
      <c r="J690" s="43"/>
      <c r="K690" s="40"/>
      <c r="L690" s="40"/>
      <c r="M690" s="41"/>
      <c r="N690" s="41"/>
      <c r="O690" s="41" t="s">
        <v>78</v>
      </c>
      <c r="P690" s="41" t="s">
        <v>78</v>
      </c>
      <c r="Q690" s="41"/>
      <c r="R690" s="41"/>
    </row>
    <row r="691">
      <c r="F691" s="40"/>
      <c r="H691" s="40"/>
      <c r="I691" s="57"/>
      <c r="J691" s="43"/>
      <c r="K691" s="40"/>
      <c r="L691" s="40"/>
      <c r="M691" s="41"/>
      <c r="N691" s="41"/>
      <c r="O691" s="41" t="s">
        <v>78</v>
      </c>
      <c r="P691" s="41" t="s">
        <v>78</v>
      </c>
      <c r="Q691" s="41"/>
      <c r="R691" s="41"/>
    </row>
    <row r="692">
      <c r="F692" s="40"/>
      <c r="H692" s="40"/>
      <c r="I692" s="57"/>
      <c r="J692" s="43"/>
      <c r="K692" s="40"/>
      <c r="L692" s="40"/>
      <c r="M692" s="41"/>
      <c r="N692" s="41"/>
      <c r="O692" s="41" t="s">
        <v>78</v>
      </c>
      <c r="P692" s="41" t="s">
        <v>78</v>
      </c>
      <c r="Q692" s="41"/>
      <c r="R692" s="41"/>
    </row>
    <row r="693">
      <c r="F693" s="40"/>
      <c r="H693" s="40"/>
      <c r="I693" s="57"/>
      <c r="J693" s="43"/>
      <c r="K693" s="40"/>
      <c r="L693" s="40"/>
      <c r="M693" s="41"/>
      <c r="N693" s="41"/>
      <c r="O693" s="41" t="s">
        <v>78</v>
      </c>
      <c r="P693" s="41" t="s">
        <v>78</v>
      </c>
      <c r="Q693" s="41"/>
      <c r="R693" s="41"/>
    </row>
    <row r="694">
      <c r="F694" s="40"/>
      <c r="H694" s="40"/>
      <c r="I694" s="57"/>
      <c r="J694" s="43"/>
      <c r="K694" s="40"/>
      <c r="L694" s="40"/>
      <c r="M694" s="41"/>
      <c r="N694" s="41"/>
      <c r="O694" s="41" t="s">
        <v>78</v>
      </c>
      <c r="P694" s="41" t="s">
        <v>78</v>
      </c>
      <c r="Q694" s="41"/>
      <c r="R694" s="41"/>
    </row>
    <row r="695">
      <c r="F695" s="40"/>
      <c r="H695" s="40"/>
      <c r="I695" s="57"/>
      <c r="J695" s="43"/>
      <c r="K695" s="40"/>
      <c r="L695" s="40"/>
      <c r="M695" s="41"/>
      <c r="N695" s="41"/>
      <c r="O695" s="41" t="s">
        <v>78</v>
      </c>
      <c r="P695" s="41" t="s">
        <v>78</v>
      </c>
      <c r="Q695" s="41"/>
      <c r="R695" s="41"/>
    </row>
    <row r="696">
      <c r="F696" s="40"/>
      <c r="H696" s="40"/>
      <c r="I696" s="57"/>
      <c r="J696" s="43"/>
      <c r="K696" s="40"/>
      <c r="L696" s="40"/>
      <c r="M696" s="41"/>
      <c r="N696" s="41"/>
      <c r="O696" s="41" t="s">
        <v>78</v>
      </c>
      <c r="P696" s="41" t="s">
        <v>78</v>
      </c>
      <c r="Q696" s="41"/>
      <c r="R696" s="41"/>
    </row>
    <row r="697">
      <c r="F697" s="40"/>
      <c r="H697" s="40"/>
      <c r="I697" s="57"/>
      <c r="J697" s="43"/>
      <c r="K697" s="40"/>
      <c r="L697" s="40"/>
      <c r="M697" s="41"/>
      <c r="N697" s="41"/>
      <c r="O697" s="41" t="s">
        <v>78</v>
      </c>
      <c r="P697" s="41" t="s">
        <v>78</v>
      </c>
      <c r="Q697" s="41"/>
      <c r="R697" s="41"/>
    </row>
    <row r="698">
      <c r="F698" s="40"/>
      <c r="H698" s="40"/>
      <c r="I698" s="57"/>
      <c r="J698" s="43"/>
      <c r="K698" s="40"/>
      <c r="L698" s="40"/>
      <c r="M698" s="41"/>
      <c r="N698" s="41"/>
      <c r="O698" s="41" t="s">
        <v>78</v>
      </c>
      <c r="P698" s="41" t="s">
        <v>78</v>
      </c>
      <c r="Q698" s="41"/>
      <c r="R698" s="41"/>
    </row>
    <row r="699">
      <c r="F699" s="40"/>
      <c r="H699" s="40"/>
      <c r="I699" s="57"/>
      <c r="J699" s="43"/>
      <c r="K699" s="40"/>
      <c r="L699" s="40"/>
      <c r="M699" s="41"/>
      <c r="N699" s="41"/>
      <c r="O699" s="41" t="s">
        <v>78</v>
      </c>
      <c r="P699" s="41" t="s">
        <v>78</v>
      </c>
      <c r="Q699" s="41"/>
      <c r="R699" s="41"/>
    </row>
    <row r="700">
      <c r="F700" s="40"/>
      <c r="H700" s="40"/>
      <c r="I700" s="57"/>
      <c r="J700" s="43"/>
      <c r="K700" s="40"/>
      <c r="L700" s="40"/>
      <c r="M700" s="41"/>
      <c r="N700" s="41"/>
      <c r="O700" s="41" t="s">
        <v>78</v>
      </c>
      <c r="P700" s="41" t="s">
        <v>78</v>
      </c>
      <c r="Q700" s="41"/>
      <c r="R700" s="41"/>
    </row>
    <row r="701">
      <c r="F701" s="40"/>
      <c r="H701" s="40"/>
      <c r="I701" s="57"/>
      <c r="J701" s="43"/>
      <c r="K701" s="40"/>
      <c r="L701" s="40"/>
      <c r="M701" s="41"/>
      <c r="N701" s="41"/>
      <c r="O701" s="41" t="s">
        <v>78</v>
      </c>
      <c r="P701" s="41" t="s">
        <v>78</v>
      </c>
      <c r="Q701" s="41"/>
      <c r="R701" s="41"/>
    </row>
    <row r="702">
      <c r="F702" s="40"/>
      <c r="H702" s="40"/>
      <c r="I702" s="57"/>
      <c r="J702" s="43"/>
      <c r="K702" s="40"/>
      <c r="L702" s="40"/>
      <c r="M702" s="41"/>
      <c r="N702" s="41"/>
      <c r="O702" s="41" t="s">
        <v>78</v>
      </c>
      <c r="P702" s="41" t="s">
        <v>78</v>
      </c>
      <c r="Q702" s="41"/>
      <c r="R702" s="41"/>
    </row>
    <row r="703">
      <c r="F703" s="40"/>
      <c r="H703" s="40"/>
      <c r="I703" s="57"/>
      <c r="J703" s="43"/>
      <c r="K703" s="40"/>
      <c r="L703" s="40"/>
      <c r="M703" s="41"/>
      <c r="N703" s="41"/>
      <c r="O703" s="41" t="s">
        <v>78</v>
      </c>
      <c r="P703" s="41" t="s">
        <v>78</v>
      </c>
      <c r="Q703" s="41"/>
      <c r="R703" s="41"/>
    </row>
    <row r="704">
      <c r="F704" s="40"/>
      <c r="H704" s="40"/>
      <c r="I704" s="57"/>
      <c r="J704" s="43"/>
      <c r="K704" s="40"/>
      <c r="L704" s="40"/>
      <c r="M704" s="41"/>
      <c r="N704" s="41"/>
      <c r="O704" s="41" t="s">
        <v>78</v>
      </c>
      <c r="P704" s="41" t="s">
        <v>78</v>
      </c>
      <c r="Q704" s="41"/>
      <c r="R704" s="41"/>
    </row>
    <row r="705">
      <c r="F705" s="40"/>
      <c r="H705" s="40"/>
      <c r="I705" s="57"/>
      <c r="J705" s="43"/>
      <c r="K705" s="40"/>
      <c r="L705" s="40"/>
      <c r="M705" s="41"/>
      <c r="N705" s="41"/>
      <c r="O705" s="41" t="s">
        <v>78</v>
      </c>
      <c r="P705" s="41" t="s">
        <v>78</v>
      </c>
      <c r="Q705" s="41"/>
      <c r="R705" s="41"/>
    </row>
    <row r="706">
      <c r="F706" s="40"/>
      <c r="H706" s="40"/>
      <c r="I706" s="57"/>
      <c r="J706" s="43"/>
      <c r="K706" s="40"/>
      <c r="L706" s="40"/>
      <c r="M706" s="41"/>
      <c r="N706" s="41"/>
      <c r="O706" s="41" t="s">
        <v>78</v>
      </c>
      <c r="P706" s="41" t="s">
        <v>78</v>
      </c>
      <c r="Q706" s="41"/>
      <c r="R706" s="41"/>
    </row>
    <row r="707">
      <c r="F707" s="40"/>
      <c r="H707" s="40"/>
      <c r="I707" s="57"/>
      <c r="J707" s="43"/>
      <c r="K707" s="40"/>
      <c r="L707" s="40"/>
      <c r="M707" s="41"/>
      <c r="N707" s="41"/>
      <c r="O707" s="41" t="s">
        <v>78</v>
      </c>
      <c r="P707" s="41" t="s">
        <v>78</v>
      </c>
      <c r="Q707" s="41"/>
      <c r="R707" s="41"/>
    </row>
    <row r="708">
      <c r="F708" s="40"/>
      <c r="H708" s="40"/>
      <c r="I708" s="57"/>
      <c r="J708" s="43"/>
      <c r="K708" s="40"/>
      <c r="L708" s="40"/>
      <c r="M708" s="41"/>
      <c r="N708" s="41"/>
      <c r="O708" s="41" t="s">
        <v>78</v>
      </c>
      <c r="P708" s="41" t="s">
        <v>78</v>
      </c>
      <c r="Q708" s="41"/>
      <c r="R708" s="41"/>
    </row>
    <row r="709">
      <c r="F709" s="40"/>
      <c r="H709" s="40"/>
      <c r="I709" s="57"/>
      <c r="J709" s="43"/>
      <c r="K709" s="40"/>
      <c r="L709" s="40"/>
      <c r="M709" s="41"/>
      <c r="N709" s="41"/>
      <c r="O709" s="41" t="s">
        <v>78</v>
      </c>
      <c r="P709" s="41" t="s">
        <v>78</v>
      </c>
      <c r="Q709" s="41"/>
      <c r="R709" s="41"/>
    </row>
    <row r="710">
      <c r="F710" s="40"/>
      <c r="H710" s="40"/>
      <c r="I710" s="57"/>
      <c r="J710" s="43"/>
      <c r="K710" s="40"/>
      <c r="L710" s="40"/>
      <c r="M710" s="41"/>
      <c r="N710" s="41"/>
      <c r="O710" s="41" t="s">
        <v>78</v>
      </c>
      <c r="P710" s="41" t="s">
        <v>78</v>
      </c>
      <c r="Q710" s="41"/>
      <c r="R710" s="41"/>
    </row>
    <row r="711">
      <c r="F711" s="40"/>
      <c r="H711" s="40"/>
      <c r="I711" s="57"/>
      <c r="J711" s="43"/>
      <c r="K711" s="40"/>
      <c r="L711" s="40"/>
      <c r="M711" s="41"/>
      <c r="N711" s="41"/>
      <c r="O711" s="41" t="s">
        <v>78</v>
      </c>
      <c r="P711" s="41" t="s">
        <v>78</v>
      </c>
      <c r="Q711" s="41"/>
      <c r="R711" s="41"/>
    </row>
    <row r="712">
      <c r="F712" s="40"/>
      <c r="H712" s="40"/>
      <c r="I712" s="57"/>
      <c r="J712" s="43"/>
      <c r="K712" s="40"/>
      <c r="L712" s="40"/>
      <c r="M712" s="41"/>
      <c r="N712" s="41"/>
      <c r="O712" s="41" t="s">
        <v>78</v>
      </c>
      <c r="P712" s="41" t="s">
        <v>78</v>
      </c>
      <c r="Q712" s="41"/>
      <c r="R712" s="41"/>
    </row>
    <row r="713">
      <c r="F713" s="40"/>
      <c r="H713" s="40"/>
      <c r="I713" s="57"/>
      <c r="J713" s="43"/>
      <c r="K713" s="40"/>
      <c r="L713" s="40"/>
      <c r="M713" s="41"/>
      <c r="N713" s="41"/>
      <c r="O713" s="41" t="s">
        <v>78</v>
      </c>
      <c r="P713" s="41" t="s">
        <v>78</v>
      </c>
      <c r="Q713" s="41"/>
      <c r="R713" s="41"/>
    </row>
    <row r="714">
      <c r="F714" s="40"/>
      <c r="H714" s="40"/>
      <c r="I714" s="57"/>
      <c r="J714" s="43"/>
      <c r="K714" s="40"/>
      <c r="L714" s="40"/>
      <c r="M714" s="41"/>
      <c r="N714" s="41"/>
      <c r="O714" s="41" t="s">
        <v>78</v>
      </c>
      <c r="P714" s="41" t="s">
        <v>78</v>
      </c>
      <c r="Q714" s="41"/>
      <c r="R714" s="41"/>
    </row>
    <row r="715">
      <c r="F715" s="40"/>
      <c r="H715" s="40"/>
      <c r="I715" s="57"/>
      <c r="J715" s="43"/>
      <c r="K715" s="40"/>
      <c r="L715" s="40"/>
      <c r="M715" s="41"/>
      <c r="N715" s="41"/>
      <c r="O715" s="41" t="s">
        <v>78</v>
      </c>
      <c r="P715" s="41" t="s">
        <v>78</v>
      </c>
      <c r="Q715" s="41"/>
      <c r="R715" s="41"/>
    </row>
    <row r="716">
      <c r="F716" s="40"/>
      <c r="H716" s="40"/>
      <c r="I716" s="57"/>
      <c r="J716" s="43"/>
      <c r="K716" s="40"/>
      <c r="L716" s="40"/>
      <c r="M716" s="41"/>
      <c r="N716" s="41"/>
      <c r="O716" s="41" t="s">
        <v>78</v>
      </c>
      <c r="P716" s="41" t="s">
        <v>78</v>
      </c>
      <c r="Q716" s="41"/>
      <c r="R716" s="41"/>
    </row>
    <row r="717">
      <c r="F717" s="40"/>
      <c r="H717" s="40"/>
      <c r="I717" s="57"/>
      <c r="J717" s="43"/>
      <c r="K717" s="40"/>
      <c r="L717" s="40"/>
      <c r="M717" s="41"/>
      <c r="N717" s="41"/>
      <c r="O717" s="41" t="s">
        <v>78</v>
      </c>
      <c r="P717" s="41" t="s">
        <v>78</v>
      </c>
      <c r="Q717" s="41"/>
      <c r="R717" s="41"/>
    </row>
    <row r="718">
      <c r="F718" s="40"/>
      <c r="H718" s="40"/>
      <c r="I718" s="57"/>
      <c r="J718" s="43"/>
      <c r="K718" s="40"/>
      <c r="L718" s="40"/>
      <c r="M718" s="41"/>
      <c r="N718" s="41"/>
      <c r="O718" s="41" t="s">
        <v>78</v>
      </c>
      <c r="P718" s="41" t="s">
        <v>78</v>
      </c>
      <c r="Q718" s="41"/>
      <c r="R718" s="41"/>
    </row>
    <row r="719">
      <c r="F719" s="40"/>
      <c r="H719" s="40"/>
      <c r="I719" s="57"/>
      <c r="J719" s="43"/>
      <c r="K719" s="40"/>
      <c r="L719" s="40"/>
      <c r="M719" s="41"/>
      <c r="N719" s="41"/>
      <c r="O719" s="41" t="s">
        <v>78</v>
      </c>
      <c r="P719" s="41" t="s">
        <v>78</v>
      </c>
      <c r="Q719" s="41"/>
      <c r="R719" s="41"/>
    </row>
    <row r="720">
      <c r="F720" s="40"/>
      <c r="H720" s="40"/>
      <c r="I720" s="57"/>
      <c r="J720" s="43"/>
      <c r="K720" s="40"/>
      <c r="L720" s="40"/>
      <c r="M720" s="41"/>
      <c r="N720" s="41"/>
      <c r="O720" s="41" t="s">
        <v>78</v>
      </c>
      <c r="P720" s="41" t="s">
        <v>78</v>
      </c>
      <c r="Q720" s="41"/>
      <c r="R720" s="41"/>
    </row>
    <row r="721">
      <c r="F721" s="40"/>
      <c r="H721" s="40"/>
      <c r="I721" s="57"/>
      <c r="J721" s="43"/>
      <c r="K721" s="40"/>
      <c r="L721" s="40"/>
      <c r="M721" s="41"/>
      <c r="N721" s="41"/>
      <c r="O721" s="41" t="s">
        <v>78</v>
      </c>
      <c r="P721" s="41" t="s">
        <v>78</v>
      </c>
      <c r="Q721" s="41"/>
      <c r="R721" s="41"/>
    </row>
    <row r="722">
      <c r="F722" s="40"/>
      <c r="H722" s="40"/>
      <c r="I722" s="57"/>
      <c r="J722" s="43"/>
      <c r="K722" s="40"/>
      <c r="L722" s="40"/>
      <c r="M722" s="41"/>
      <c r="N722" s="41"/>
      <c r="O722" s="41" t="s">
        <v>78</v>
      </c>
      <c r="P722" s="41" t="s">
        <v>78</v>
      </c>
      <c r="Q722" s="41"/>
      <c r="R722" s="41"/>
    </row>
    <row r="723">
      <c r="F723" s="40"/>
      <c r="H723" s="40"/>
      <c r="I723" s="57"/>
      <c r="J723" s="43"/>
      <c r="K723" s="40"/>
      <c r="L723" s="40"/>
      <c r="M723" s="41"/>
      <c r="N723" s="41"/>
      <c r="O723" s="41" t="s">
        <v>78</v>
      </c>
      <c r="P723" s="41" t="s">
        <v>78</v>
      </c>
      <c r="Q723" s="41"/>
      <c r="R723" s="41"/>
    </row>
    <row r="724">
      <c r="F724" s="40"/>
      <c r="H724" s="40"/>
      <c r="I724" s="57"/>
      <c r="J724" s="43"/>
      <c r="K724" s="40"/>
      <c r="L724" s="40"/>
      <c r="M724" s="41"/>
      <c r="N724" s="41"/>
      <c r="O724" s="41" t="s">
        <v>78</v>
      </c>
      <c r="P724" s="41" t="s">
        <v>78</v>
      </c>
      <c r="Q724" s="41"/>
      <c r="R724" s="41"/>
    </row>
    <row r="725">
      <c r="F725" s="40"/>
      <c r="H725" s="40"/>
      <c r="I725" s="57"/>
      <c r="J725" s="43"/>
      <c r="K725" s="40"/>
      <c r="L725" s="40"/>
      <c r="M725" s="41"/>
      <c r="N725" s="41"/>
      <c r="O725" s="41" t="s">
        <v>78</v>
      </c>
      <c r="P725" s="41" t="s">
        <v>78</v>
      </c>
      <c r="Q725" s="41"/>
      <c r="R725" s="41"/>
    </row>
    <row r="726">
      <c r="F726" s="40"/>
      <c r="H726" s="40"/>
      <c r="I726" s="57"/>
      <c r="J726" s="43"/>
      <c r="K726" s="40"/>
      <c r="L726" s="40"/>
      <c r="M726" s="41"/>
      <c r="N726" s="41"/>
      <c r="O726" s="41" t="s">
        <v>78</v>
      </c>
      <c r="P726" s="41" t="s">
        <v>78</v>
      </c>
      <c r="Q726" s="41"/>
      <c r="R726" s="41"/>
    </row>
    <row r="727">
      <c r="F727" s="40"/>
      <c r="H727" s="40"/>
      <c r="I727" s="57"/>
      <c r="J727" s="43"/>
      <c r="K727" s="40"/>
      <c r="L727" s="40"/>
      <c r="M727" s="41"/>
      <c r="N727" s="41"/>
      <c r="O727" s="41" t="s">
        <v>78</v>
      </c>
      <c r="P727" s="41" t="s">
        <v>78</v>
      </c>
      <c r="Q727" s="41"/>
      <c r="R727" s="41"/>
    </row>
    <row r="728">
      <c r="F728" s="40"/>
      <c r="H728" s="40"/>
      <c r="I728" s="57"/>
      <c r="J728" s="43"/>
      <c r="K728" s="40"/>
      <c r="L728" s="40"/>
      <c r="M728" s="41"/>
      <c r="N728" s="41"/>
      <c r="O728" s="41" t="s">
        <v>78</v>
      </c>
      <c r="P728" s="41" t="s">
        <v>78</v>
      </c>
      <c r="Q728" s="41"/>
      <c r="R728" s="41"/>
    </row>
    <row r="729">
      <c r="F729" s="40"/>
      <c r="H729" s="40"/>
      <c r="I729" s="57"/>
      <c r="J729" s="43"/>
      <c r="K729" s="40"/>
      <c r="L729" s="40"/>
      <c r="M729" s="41"/>
      <c r="N729" s="41"/>
      <c r="O729" s="41" t="s">
        <v>78</v>
      </c>
      <c r="P729" s="41" t="s">
        <v>78</v>
      </c>
      <c r="Q729" s="41"/>
      <c r="R729" s="41"/>
    </row>
    <row r="730">
      <c r="F730" s="40"/>
      <c r="H730" s="40"/>
      <c r="I730" s="57"/>
      <c r="J730" s="43"/>
      <c r="K730" s="40"/>
      <c r="L730" s="40"/>
      <c r="M730" s="41"/>
      <c r="N730" s="41"/>
      <c r="O730" s="41" t="s">
        <v>78</v>
      </c>
      <c r="P730" s="41" t="s">
        <v>78</v>
      </c>
      <c r="Q730" s="41"/>
      <c r="R730" s="41"/>
    </row>
    <row r="731">
      <c r="F731" s="40"/>
      <c r="H731" s="40"/>
      <c r="I731" s="57"/>
      <c r="J731" s="43"/>
      <c r="K731" s="40"/>
      <c r="L731" s="40"/>
      <c r="M731" s="41"/>
      <c r="N731" s="41"/>
      <c r="O731" s="41" t="s">
        <v>78</v>
      </c>
      <c r="P731" s="41" t="s">
        <v>78</v>
      </c>
      <c r="Q731" s="41"/>
      <c r="R731" s="41"/>
    </row>
    <row r="732">
      <c r="F732" s="40"/>
      <c r="H732" s="40"/>
      <c r="I732" s="57"/>
      <c r="J732" s="43"/>
      <c r="K732" s="40"/>
      <c r="L732" s="40"/>
      <c r="M732" s="41"/>
      <c r="N732" s="41"/>
      <c r="O732" s="41" t="s">
        <v>78</v>
      </c>
      <c r="P732" s="41" t="s">
        <v>78</v>
      </c>
      <c r="Q732" s="41"/>
      <c r="R732" s="41"/>
    </row>
    <row r="733">
      <c r="F733" s="40"/>
      <c r="H733" s="40"/>
      <c r="I733" s="57"/>
      <c r="J733" s="43"/>
      <c r="K733" s="40"/>
      <c r="L733" s="40"/>
      <c r="M733" s="41"/>
      <c r="N733" s="41"/>
      <c r="O733" s="41" t="s">
        <v>78</v>
      </c>
      <c r="P733" s="41" t="s">
        <v>78</v>
      </c>
      <c r="Q733" s="41"/>
      <c r="R733" s="41"/>
    </row>
    <row r="734">
      <c r="F734" s="40"/>
      <c r="H734" s="40"/>
      <c r="I734" s="57"/>
      <c r="J734" s="43"/>
      <c r="K734" s="40"/>
      <c r="L734" s="40"/>
      <c r="M734" s="41"/>
      <c r="N734" s="41"/>
      <c r="O734" s="41" t="s">
        <v>78</v>
      </c>
      <c r="P734" s="41" t="s">
        <v>78</v>
      </c>
      <c r="Q734" s="41"/>
      <c r="R734" s="41"/>
    </row>
    <row r="735">
      <c r="F735" s="40"/>
      <c r="H735" s="40"/>
      <c r="I735" s="57"/>
      <c r="J735" s="43"/>
      <c r="K735" s="40"/>
      <c r="L735" s="40"/>
      <c r="M735" s="41"/>
      <c r="N735" s="41"/>
      <c r="O735" s="41" t="s">
        <v>78</v>
      </c>
      <c r="P735" s="41" t="s">
        <v>78</v>
      </c>
      <c r="Q735" s="41"/>
      <c r="R735" s="41"/>
    </row>
    <row r="736">
      <c r="F736" s="40"/>
      <c r="H736" s="40"/>
      <c r="I736" s="57"/>
      <c r="J736" s="43"/>
      <c r="K736" s="40"/>
      <c r="L736" s="40"/>
      <c r="M736" s="41"/>
      <c r="N736" s="41"/>
      <c r="O736" s="41" t="s">
        <v>78</v>
      </c>
      <c r="P736" s="41" t="s">
        <v>78</v>
      </c>
      <c r="Q736" s="41"/>
      <c r="R736" s="41"/>
    </row>
    <row r="737">
      <c r="F737" s="40"/>
      <c r="H737" s="40"/>
      <c r="I737" s="57"/>
      <c r="J737" s="43"/>
      <c r="K737" s="40"/>
      <c r="L737" s="40"/>
      <c r="M737" s="41"/>
      <c r="N737" s="41"/>
      <c r="O737" s="41" t="s">
        <v>78</v>
      </c>
      <c r="P737" s="41" t="s">
        <v>78</v>
      </c>
      <c r="Q737" s="41"/>
      <c r="R737" s="41"/>
    </row>
    <row r="738">
      <c r="F738" s="40"/>
      <c r="H738" s="40"/>
      <c r="I738" s="57"/>
      <c r="J738" s="43"/>
      <c r="K738" s="40"/>
      <c r="L738" s="40"/>
      <c r="M738" s="41"/>
      <c r="N738" s="41"/>
      <c r="O738" s="41" t="s">
        <v>78</v>
      </c>
      <c r="P738" s="41" t="s">
        <v>78</v>
      </c>
      <c r="Q738" s="41"/>
      <c r="R738" s="41"/>
    </row>
    <row r="739">
      <c r="F739" s="40"/>
      <c r="H739" s="40"/>
      <c r="I739" s="57"/>
      <c r="J739" s="43"/>
      <c r="K739" s="40"/>
      <c r="L739" s="40"/>
      <c r="M739" s="41"/>
      <c r="N739" s="41"/>
      <c r="O739" s="41" t="s">
        <v>78</v>
      </c>
      <c r="P739" s="41" t="s">
        <v>78</v>
      </c>
      <c r="Q739" s="41"/>
      <c r="R739" s="41"/>
    </row>
    <row r="740">
      <c r="F740" s="40"/>
      <c r="H740" s="40"/>
      <c r="I740" s="57"/>
      <c r="J740" s="43"/>
      <c r="K740" s="40"/>
      <c r="L740" s="40"/>
      <c r="M740" s="41"/>
      <c r="N740" s="41"/>
      <c r="O740" s="41" t="s">
        <v>78</v>
      </c>
      <c r="P740" s="41" t="s">
        <v>78</v>
      </c>
      <c r="Q740" s="41"/>
      <c r="R740" s="41"/>
    </row>
    <row r="741">
      <c r="F741" s="40"/>
      <c r="H741" s="40"/>
      <c r="I741" s="57"/>
      <c r="J741" s="43"/>
      <c r="K741" s="40"/>
      <c r="L741" s="40"/>
      <c r="M741" s="41"/>
      <c r="N741" s="41"/>
      <c r="O741" s="41" t="s">
        <v>78</v>
      </c>
      <c r="P741" s="41" t="s">
        <v>78</v>
      </c>
      <c r="Q741" s="41"/>
      <c r="R741" s="41"/>
    </row>
    <row r="742">
      <c r="F742" s="40"/>
      <c r="H742" s="40"/>
      <c r="I742" s="57"/>
      <c r="J742" s="43"/>
      <c r="K742" s="40"/>
      <c r="L742" s="40"/>
      <c r="M742" s="41"/>
      <c r="N742" s="41"/>
      <c r="O742" s="41" t="s">
        <v>78</v>
      </c>
      <c r="P742" s="41" t="s">
        <v>78</v>
      </c>
      <c r="Q742" s="41"/>
      <c r="R742" s="41"/>
    </row>
    <row r="743">
      <c r="F743" s="40"/>
      <c r="H743" s="40"/>
      <c r="I743" s="57"/>
      <c r="J743" s="43"/>
      <c r="K743" s="40"/>
      <c r="L743" s="40"/>
      <c r="M743" s="41"/>
      <c r="N743" s="41"/>
      <c r="O743" s="41" t="s">
        <v>78</v>
      </c>
      <c r="P743" s="41" t="s">
        <v>78</v>
      </c>
      <c r="Q743" s="41"/>
      <c r="R743" s="41"/>
    </row>
    <row r="744">
      <c r="F744" s="40"/>
      <c r="H744" s="40"/>
      <c r="I744" s="57"/>
      <c r="J744" s="43"/>
      <c r="K744" s="40"/>
      <c r="L744" s="40"/>
      <c r="M744" s="41"/>
      <c r="N744" s="41"/>
      <c r="O744" s="41" t="s">
        <v>78</v>
      </c>
      <c r="P744" s="41" t="s">
        <v>78</v>
      </c>
      <c r="Q744" s="41"/>
      <c r="R744" s="41"/>
    </row>
    <row r="745">
      <c r="F745" s="40"/>
      <c r="H745" s="40"/>
      <c r="I745" s="57"/>
      <c r="J745" s="43"/>
      <c r="K745" s="40"/>
      <c r="L745" s="40"/>
      <c r="M745" s="41"/>
      <c r="N745" s="41"/>
      <c r="O745" s="41" t="s">
        <v>78</v>
      </c>
      <c r="P745" s="41" t="s">
        <v>78</v>
      </c>
      <c r="Q745" s="41"/>
      <c r="R745" s="41"/>
    </row>
    <row r="746">
      <c r="F746" s="40"/>
      <c r="H746" s="40"/>
      <c r="I746" s="57"/>
      <c r="J746" s="43"/>
      <c r="K746" s="40"/>
      <c r="L746" s="40"/>
      <c r="M746" s="41"/>
      <c r="N746" s="41"/>
      <c r="O746" s="41" t="s">
        <v>78</v>
      </c>
      <c r="P746" s="41" t="s">
        <v>78</v>
      </c>
      <c r="Q746" s="41"/>
      <c r="R746" s="41"/>
    </row>
    <row r="747">
      <c r="F747" s="40"/>
      <c r="H747" s="40"/>
      <c r="I747" s="57"/>
      <c r="J747" s="43"/>
      <c r="K747" s="40"/>
      <c r="L747" s="40"/>
      <c r="M747" s="41"/>
      <c r="N747" s="41"/>
      <c r="O747" s="41" t="s">
        <v>78</v>
      </c>
      <c r="P747" s="41" t="s">
        <v>78</v>
      </c>
      <c r="Q747" s="41"/>
      <c r="R747" s="41"/>
    </row>
    <row r="748">
      <c r="F748" s="40"/>
      <c r="H748" s="40"/>
      <c r="I748" s="57"/>
      <c r="J748" s="43"/>
      <c r="K748" s="40"/>
      <c r="L748" s="40"/>
      <c r="M748" s="41"/>
      <c r="N748" s="41"/>
      <c r="O748" s="41" t="s">
        <v>78</v>
      </c>
      <c r="P748" s="41" t="s">
        <v>78</v>
      </c>
      <c r="Q748" s="41"/>
      <c r="R748" s="41"/>
    </row>
    <row r="749">
      <c r="F749" s="40"/>
      <c r="H749" s="40"/>
      <c r="I749" s="57"/>
      <c r="J749" s="43"/>
      <c r="K749" s="40"/>
      <c r="L749" s="40"/>
      <c r="M749" s="41"/>
      <c r="N749" s="41"/>
      <c r="O749" s="41" t="s">
        <v>78</v>
      </c>
      <c r="P749" s="41" t="s">
        <v>78</v>
      </c>
      <c r="Q749" s="41"/>
      <c r="R749" s="41"/>
    </row>
    <row r="750">
      <c r="F750" s="40"/>
      <c r="H750" s="40"/>
      <c r="I750" s="57"/>
      <c r="J750" s="43"/>
      <c r="K750" s="40"/>
      <c r="L750" s="40"/>
      <c r="M750" s="41"/>
      <c r="N750" s="41"/>
      <c r="O750" s="41" t="s">
        <v>78</v>
      </c>
      <c r="P750" s="41" t="s">
        <v>78</v>
      </c>
      <c r="Q750" s="41"/>
      <c r="R750" s="41"/>
    </row>
    <row r="751">
      <c r="F751" s="40"/>
      <c r="H751" s="40"/>
      <c r="I751" s="57"/>
      <c r="J751" s="43"/>
      <c r="K751" s="40"/>
      <c r="L751" s="40"/>
      <c r="M751" s="41"/>
      <c r="N751" s="41"/>
      <c r="O751" s="41" t="s">
        <v>78</v>
      </c>
      <c r="P751" s="41" t="s">
        <v>78</v>
      </c>
      <c r="Q751" s="41"/>
      <c r="R751" s="41"/>
    </row>
    <row r="752">
      <c r="F752" s="40"/>
      <c r="H752" s="40"/>
      <c r="I752" s="57"/>
      <c r="J752" s="43"/>
      <c r="K752" s="40"/>
      <c r="L752" s="40"/>
      <c r="M752" s="41"/>
      <c r="N752" s="41"/>
      <c r="O752" s="41" t="s">
        <v>78</v>
      </c>
      <c r="P752" s="41" t="s">
        <v>78</v>
      </c>
      <c r="Q752" s="41"/>
      <c r="R752" s="41"/>
    </row>
    <row r="753">
      <c r="F753" s="40"/>
      <c r="H753" s="40"/>
      <c r="I753" s="57"/>
      <c r="J753" s="43"/>
      <c r="K753" s="40"/>
      <c r="L753" s="40"/>
      <c r="M753" s="41"/>
      <c r="N753" s="41"/>
      <c r="O753" s="41" t="s">
        <v>78</v>
      </c>
      <c r="P753" s="41" t="s">
        <v>78</v>
      </c>
      <c r="Q753" s="41"/>
      <c r="R753" s="41"/>
    </row>
    <row r="754">
      <c r="F754" s="40"/>
      <c r="H754" s="40"/>
      <c r="I754" s="57"/>
      <c r="J754" s="43"/>
      <c r="K754" s="40"/>
      <c r="L754" s="40"/>
      <c r="M754" s="41"/>
      <c r="N754" s="41"/>
      <c r="O754" s="41" t="s">
        <v>78</v>
      </c>
      <c r="P754" s="41" t="s">
        <v>78</v>
      </c>
      <c r="Q754" s="41"/>
      <c r="R754" s="41"/>
    </row>
    <row r="755">
      <c r="F755" s="40"/>
      <c r="H755" s="40"/>
      <c r="I755" s="57"/>
      <c r="J755" s="43"/>
      <c r="K755" s="40"/>
      <c r="L755" s="40"/>
      <c r="M755" s="41"/>
      <c r="N755" s="41"/>
      <c r="O755" s="41" t="s">
        <v>78</v>
      </c>
      <c r="P755" s="41" t="s">
        <v>78</v>
      </c>
      <c r="Q755" s="41"/>
      <c r="R755" s="41"/>
    </row>
    <row r="756">
      <c r="F756" s="40"/>
      <c r="H756" s="40"/>
      <c r="I756" s="57"/>
      <c r="J756" s="43"/>
      <c r="K756" s="40"/>
      <c r="L756" s="40"/>
      <c r="M756" s="41"/>
      <c r="N756" s="41"/>
      <c r="O756" s="41" t="s">
        <v>78</v>
      </c>
      <c r="P756" s="41" t="s">
        <v>78</v>
      </c>
      <c r="Q756" s="41"/>
      <c r="R756" s="41"/>
    </row>
    <row r="757">
      <c r="F757" s="40"/>
      <c r="H757" s="40"/>
      <c r="I757" s="57"/>
      <c r="J757" s="43"/>
      <c r="K757" s="40"/>
      <c r="L757" s="40"/>
      <c r="M757" s="41"/>
      <c r="N757" s="41"/>
      <c r="O757" s="41" t="s">
        <v>78</v>
      </c>
      <c r="P757" s="41" t="s">
        <v>78</v>
      </c>
      <c r="Q757" s="41"/>
      <c r="R757" s="41"/>
    </row>
    <row r="758">
      <c r="F758" s="40"/>
      <c r="H758" s="40"/>
      <c r="I758" s="57"/>
      <c r="J758" s="43"/>
      <c r="K758" s="40"/>
      <c r="L758" s="40"/>
      <c r="M758" s="41"/>
      <c r="N758" s="41"/>
      <c r="O758" s="41" t="s">
        <v>78</v>
      </c>
      <c r="P758" s="41" t="s">
        <v>78</v>
      </c>
      <c r="Q758" s="41"/>
      <c r="R758" s="41"/>
    </row>
    <row r="759">
      <c r="F759" s="40"/>
      <c r="H759" s="40"/>
      <c r="I759" s="57"/>
      <c r="J759" s="43"/>
      <c r="K759" s="40"/>
      <c r="L759" s="40"/>
      <c r="M759" s="41"/>
      <c r="N759" s="41"/>
      <c r="O759" s="41" t="s">
        <v>78</v>
      </c>
      <c r="P759" s="41" t="s">
        <v>78</v>
      </c>
      <c r="Q759" s="41"/>
      <c r="R759" s="41"/>
    </row>
    <row r="760">
      <c r="F760" s="40"/>
      <c r="H760" s="40"/>
      <c r="I760" s="57"/>
      <c r="J760" s="43"/>
      <c r="K760" s="40"/>
      <c r="L760" s="40"/>
      <c r="M760" s="41"/>
      <c r="N760" s="41"/>
      <c r="O760" s="41" t="s">
        <v>78</v>
      </c>
      <c r="P760" s="41" t="s">
        <v>78</v>
      </c>
      <c r="Q760" s="41"/>
      <c r="R760" s="41"/>
    </row>
    <row r="761">
      <c r="F761" s="40"/>
      <c r="H761" s="40"/>
      <c r="I761" s="57"/>
      <c r="J761" s="43"/>
      <c r="K761" s="40"/>
      <c r="L761" s="40"/>
      <c r="M761" s="41"/>
      <c r="N761" s="41"/>
      <c r="O761" s="41" t="s">
        <v>78</v>
      </c>
      <c r="P761" s="41" t="s">
        <v>78</v>
      </c>
      <c r="Q761" s="41"/>
      <c r="R761" s="41"/>
    </row>
    <row r="762">
      <c r="F762" s="40"/>
      <c r="H762" s="40"/>
      <c r="I762" s="57"/>
      <c r="J762" s="43"/>
      <c r="K762" s="40"/>
      <c r="L762" s="40"/>
      <c r="M762" s="41"/>
      <c r="N762" s="41"/>
      <c r="O762" s="41" t="s">
        <v>78</v>
      </c>
      <c r="P762" s="41" t="s">
        <v>78</v>
      </c>
      <c r="Q762" s="41"/>
      <c r="R762" s="41"/>
    </row>
    <row r="763">
      <c r="F763" s="40"/>
      <c r="H763" s="40"/>
      <c r="I763" s="57"/>
      <c r="J763" s="43"/>
      <c r="K763" s="40"/>
      <c r="L763" s="40"/>
      <c r="M763" s="41"/>
      <c r="N763" s="41"/>
      <c r="O763" s="41" t="s">
        <v>78</v>
      </c>
      <c r="P763" s="41" t="s">
        <v>78</v>
      </c>
      <c r="Q763" s="41"/>
      <c r="R763" s="41"/>
    </row>
    <row r="764">
      <c r="F764" s="40"/>
      <c r="H764" s="40"/>
      <c r="I764" s="57"/>
      <c r="J764" s="43"/>
      <c r="K764" s="40"/>
      <c r="L764" s="40"/>
      <c r="M764" s="41"/>
      <c r="N764" s="41"/>
      <c r="O764" s="41" t="s">
        <v>78</v>
      </c>
      <c r="P764" s="41" t="s">
        <v>78</v>
      </c>
      <c r="Q764" s="41"/>
      <c r="R764" s="41"/>
    </row>
    <row r="765">
      <c r="F765" s="40"/>
      <c r="H765" s="40"/>
      <c r="I765" s="57"/>
      <c r="J765" s="43"/>
      <c r="K765" s="40"/>
      <c r="L765" s="40"/>
      <c r="M765" s="41"/>
      <c r="N765" s="41"/>
      <c r="O765" s="41" t="s">
        <v>78</v>
      </c>
      <c r="P765" s="41" t="s">
        <v>78</v>
      </c>
      <c r="Q765" s="41"/>
      <c r="R765" s="41"/>
    </row>
    <row r="766">
      <c r="F766" s="40"/>
      <c r="H766" s="40"/>
      <c r="I766" s="57"/>
      <c r="J766" s="43"/>
      <c r="K766" s="40"/>
      <c r="L766" s="40"/>
      <c r="M766" s="41"/>
      <c r="N766" s="41"/>
      <c r="O766" s="41" t="s">
        <v>78</v>
      </c>
      <c r="P766" s="41" t="s">
        <v>78</v>
      </c>
      <c r="Q766" s="41"/>
      <c r="R766" s="41"/>
    </row>
    <row r="767">
      <c r="F767" s="40"/>
      <c r="H767" s="40"/>
      <c r="I767" s="57"/>
      <c r="J767" s="43"/>
      <c r="K767" s="40"/>
      <c r="L767" s="40"/>
      <c r="M767" s="41"/>
      <c r="N767" s="41"/>
      <c r="O767" s="41" t="s">
        <v>78</v>
      </c>
      <c r="P767" s="41" t="s">
        <v>78</v>
      </c>
      <c r="Q767" s="41"/>
      <c r="R767" s="41"/>
    </row>
    <row r="768">
      <c r="F768" s="40"/>
      <c r="H768" s="40"/>
      <c r="I768" s="57"/>
      <c r="J768" s="43"/>
      <c r="K768" s="40"/>
      <c r="L768" s="40"/>
      <c r="M768" s="41"/>
      <c r="N768" s="41"/>
      <c r="O768" s="41" t="s">
        <v>78</v>
      </c>
      <c r="P768" s="41" t="s">
        <v>78</v>
      </c>
      <c r="Q768" s="41"/>
      <c r="R768" s="41"/>
    </row>
    <row r="769">
      <c r="F769" s="40"/>
      <c r="H769" s="40"/>
      <c r="I769" s="57"/>
      <c r="J769" s="43"/>
      <c r="K769" s="40"/>
      <c r="L769" s="40"/>
      <c r="M769" s="41"/>
      <c r="N769" s="41"/>
      <c r="O769" s="41" t="s">
        <v>78</v>
      </c>
      <c r="P769" s="41" t="s">
        <v>78</v>
      </c>
      <c r="Q769" s="41"/>
      <c r="R769" s="41"/>
    </row>
    <row r="770">
      <c r="F770" s="40"/>
      <c r="H770" s="40"/>
      <c r="I770" s="57"/>
      <c r="J770" s="43"/>
      <c r="K770" s="40"/>
      <c r="L770" s="40"/>
      <c r="M770" s="41"/>
      <c r="N770" s="41"/>
      <c r="O770" s="41" t="s">
        <v>78</v>
      </c>
      <c r="P770" s="41" t="s">
        <v>78</v>
      </c>
      <c r="Q770" s="41"/>
      <c r="R770" s="41"/>
    </row>
    <row r="771">
      <c r="F771" s="40"/>
      <c r="H771" s="40"/>
      <c r="I771" s="57"/>
      <c r="J771" s="43"/>
      <c r="K771" s="40"/>
      <c r="L771" s="40"/>
      <c r="M771" s="41"/>
      <c r="N771" s="41"/>
      <c r="O771" s="41" t="s">
        <v>78</v>
      </c>
      <c r="P771" s="41" t="s">
        <v>78</v>
      </c>
      <c r="Q771" s="41"/>
      <c r="R771" s="41"/>
    </row>
    <row r="772">
      <c r="F772" s="40"/>
      <c r="H772" s="40"/>
      <c r="I772" s="57"/>
      <c r="J772" s="43"/>
      <c r="K772" s="40"/>
      <c r="L772" s="40"/>
      <c r="M772" s="41"/>
      <c r="N772" s="41"/>
      <c r="O772" s="41" t="s">
        <v>78</v>
      </c>
      <c r="P772" s="41" t="s">
        <v>78</v>
      </c>
      <c r="Q772" s="41"/>
      <c r="R772" s="41"/>
    </row>
    <row r="773">
      <c r="F773" s="40"/>
      <c r="H773" s="40"/>
      <c r="I773" s="57"/>
      <c r="J773" s="43"/>
      <c r="K773" s="40"/>
      <c r="L773" s="40"/>
      <c r="M773" s="41"/>
      <c r="N773" s="41"/>
      <c r="O773" s="41" t="s">
        <v>78</v>
      </c>
      <c r="P773" s="41" t="s">
        <v>78</v>
      </c>
      <c r="Q773" s="41"/>
      <c r="R773" s="41"/>
    </row>
    <row r="774">
      <c r="F774" s="40"/>
      <c r="H774" s="40"/>
      <c r="I774" s="57"/>
      <c r="J774" s="43"/>
      <c r="K774" s="40"/>
      <c r="L774" s="40"/>
      <c r="M774" s="41"/>
      <c r="N774" s="41"/>
      <c r="O774" s="41" t="s">
        <v>78</v>
      </c>
      <c r="P774" s="41" t="s">
        <v>78</v>
      </c>
      <c r="Q774" s="41"/>
      <c r="R774" s="41"/>
    </row>
    <row r="775">
      <c r="F775" s="40"/>
      <c r="H775" s="40"/>
      <c r="I775" s="57"/>
      <c r="J775" s="43"/>
      <c r="K775" s="40"/>
      <c r="L775" s="40"/>
      <c r="M775" s="41"/>
      <c r="N775" s="41"/>
      <c r="O775" s="41" t="s">
        <v>78</v>
      </c>
      <c r="P775" s="41" t="s">
        <v>78</v>
      </c>
      <c r="Q775" s="41"/>
      <c r="R775" s="41"/>
    </row>
    <row r="776">
      <c r="F776" s="40"/>
      <c r="H776" s="40"/>
      <c r="I776" s="57"/>
      <c r="J776" s="43"/>
      <c r="K776" s="40"/>
      <c r="L776" s="40"/>
      <c r="M776" s="41"/>
      <c r="N776" s="41"/>
      <c r="O776" s="41" t="s">
        <v>78</v>
      </c>
      <c r="P776" s="41" t="s">
        <v>78</v>
      </c>
      <c r="Q776" s="41"/>
      <c r="R776" s="41"/>
    </row>
    <row r="777">
      <c r="F777" s="40"/>
      <c r="H777" s="40"/>
      <c r="I777" s="57"/>
      <c r="J777" s="43"/>
      <c r="K777" s="40"/>
      <c r="L777" s="40"/>
      <c r="M777" s="41"/>
      <c r="N777" s="41"/>
      <c r="O777" s="41" t="s">
        <v>78</v>
      </c>
      <c r="P777" s="41" t="s">
        <v>78</v>
      </c>
      <c r="Q777" s="41"/>
      <c r="R777" s="41"/>
    </row>
    <row r="778">
      <c r="F778" s="40"/>
      <c r="H778" s="40"/>
      <c r="I778" s="57"/>
      <c r="J778" s="43"/>
      <c r="K778" s="40"/>
      <c r="L778" s="40"/>
      <c r="M778" s="41"/>
      <c r="N778" s="41"/>
      <c r="O778" s="41" t="s">
        <v>78</v>
      </c>
      <c r="P778" s="41" t="s">
        <v>78</v>
      </c>
      <c r="Q778" s="41"/>
      <c r="R778" s="41"/>
    </row>
    <row r="779">
      <c r="F779" s="40"/>
      <c r="H779" s="40"/>
      <c r="I779" s="57"/>
      <c r="J779" s="43"/>
      <c r="K779" s="40"/>
      <c r="L779" s="40"/>
      <c r="M779" s="41"/>
      <c r="N779" s="41"/>
      <c r="O779" s="41" t="s">
        <v>78</v>
      </c>
      <c r="P779" s="41" t="s">
        <v>78</v>
      </c>
      <c r="Q779" s="41"/>
      <c r="R779" s="41"/>
    </row>
    <row r="780">
      <c r="F780" s="40"/>
      <c r="H780" s="40"/>
      <c r="I780" s="57"/>
      <c r="J780" s="43"/>
      <c r="K780" s="40"/>
      <c r="L780" s="40"/>
      <c r="M780" s="41"/>
      <c r="N780" s="41"/>
      <c r="O780" s="41" t="s">
        <v>78</v>
      </c>
      <c r="P780" s="41" t="s">
        <v>78</v>
      </c>
      <c r="Q780" s="41"/>
      <c r="R780" s="41"/>
    </row>
    <row r="781">
      <c r="F781" s="40"/>
      <c r="H781" s="40"/>
      <c r="I781" s="57"/>
      <c r="J781" s="43"/>
      <c r="K781" s="40"/>
      <c r="L781" s="40"/>
      <c r="M781" s="41"/>
      <c r="N781" s="41"/>
      <c r="O781" s="41" t="s">
        <v>78</v>
      </c>
      <c r="P781" s="41" t="s">
        <v>78</v>
      </c>
      <c r="Q781" s="41"/>
      <c r="R781" s="41"/>
    </row>
    <row r="782">
      <c r="F782" s="40"/>
      <c r="H782" s="40"/>
      <c r="I782" s="57"/>
      <c r="J782" s="43"/>
      <c r="K782" s="40"/>
      <c r="L782" s="40"/>
      <c r="M782" s="41"/>
      <c r="N782" s="41"/>
      <c r="O782" s="41" t="s">
        <v>78</v>
      </c>
      <c r="P782" s="41" t="s">
        <v>78</v>
      </c>
      <c r="Q782" s="41"/>
      <c r="R782" s="41"/>
    </row>
    <row r="783">
      <c r="F783" s="40"/>
      <c r="H783" s="40"/>
      <c r="I783" s="57"/>
      <c r="J783" s="43"/>
      <c r="K783" s="40"/>
      <c r="L783" s="40"/>
      <c r="M783" s="41"/>
      <c r="N783" s="41"/>
      <c r="O783" s="41" t="s">
        <v>78</v>
      </c>
      <c r="P783" s="41" t="s">
        <v>78</v>
      </c>
      <c r="Q783" s="41"/>
      <c r="R783" s="41"/>
    </row>
    <row r="784">
      <c r="F784" s="40"/>
      <c r="H784" s="40"/>
      <c r="I784" s="57"/>
      <c r="J784" s="43"/>
      <c r="K784" s="40"/>
      <c r="L784" s="40"/>
      <c r="M784" s="41"/>
      <c r="N784" s="41"/>
      <c r="O784" s="41" t="s">
        <v>78</v>
      </c>
      <c r="P784" s="41" t="s">
        <v>78</v>
      </c>
      <c r="Q784" s="41"/>
      <c r="R784" s="41"/>
    </row>
    <row r="785">
      <c r="F785" s="40"/>
      <c r="H785" s="40"/>
      <c r="I785" s="57"/>
      <c r="J785" s="43"/>
      <c r="K785" s="40"/>
      <c r="L785" s="40"/>
      <c r="M785" s="41"/>
      <c r="N785" s="41"/>
      <c r="O785" s="41" t="s">
        <v>78</v>
      </c>
      <c r="P785" s="41" t="s">
        <v>78</v>
      </c>
      <c r="Q785" s="41"/>
      <c r="R785" s="41"/>
    </row>
    <row r="786">
      <c r="F786" s="40"/>
      <c r="H786" s="40"/>
      <c r="I786" s="57"/>
      <c r="J786" s="43"/>
      <c r="K786" s="40"/>
      <c r="L786" s="40"/>
      <c r="M786" s="41"/>
      <c r="N786" s="41"/>
      <c r="O786" s="41" t="s">
        <v>78</v>
      </c>
      <c r="P786" s="41" t="s">
        <v>78</v>
      </c>
      <c r="Q786" s="41"/>
      <c r="R786" s="41"/>
    </row>
    <row r="787">
      <c r="F787" s="40"/>
      <c r="H787" s="40"/>
      <c r="I787" s="57"/>
      <c r="J787" s="43"/>
      <c r="K787" s="40"/>
      <c r="L787" s="40"/>
      <c r="M787" s="41"/>
      <c r="N787" s="41"/>
      <c r="O787" s="41" t="s">
        <v>78</v>
      </c>
      <c r="P787" s="41" t="s">
        <v>78</v>
      </c>
      <c r="Q787" s="41"/>
      <c r="R787" s="41"/>
    </row>
    <row r="788">
      <c r="F788" s="40"/>
      <c r="H788" s="40"/>
      <c r="I788" s="57"/>
      <c r="J788" s="43"/>
      <c r="K788" s="40"/>
      <c r="L788" s="40"/>
      <c r="M788" s="41"/>
      <c r="N788" s="41"/>
      <c r="O788" s="41" t="s">
        <v>78</v>
      </c>
      <c r="P788" s="41" t="s">
        <v>78</v>
      </c>
      <c r="Q788" s="41"/>
      <c r="R788" s="41"/>
    </row>
    <row r="789">
      <c r="F789" s="40"/>
      <c r="H789" s="40"/>
      <c r="I789" s="57"/>
      <c r="J789" s="43"/>
      <c r="K789" s="40"/>
      <c r="L789" s="40"/>
      <c r="M789" s="41"/>
      <c r="N789" s="41"/>
      <c r="O789" s="41" t="s">
        <v>78</v>
      </c>
      <c r="P789" s="41" t="s">
        <v>78</v>
      </c>
      <c r="Q789" s="41"/>
      <c r="R789" s="41"/>
    </row>
    <row r="790">
      <c r="F790" s="40"/>
      <c r="H790" s="40"/>
      <c r="I790" s="57"/>
      <c r="J790" s="43"/>
      <c r="K790" s="40"/>
      <c r="L790" s="40"/>
      <c r="M790" s="41"/>
      <c r="N790" s="41"/>
      <c r="O790" s="41" t="s">
        <v>78</v>
      </c>
      <c r="P790" s="41" t="s">
        <v>78</v>
      </c>
      <c r="Q790" s="41"/>
      <c r="R790" s="41"/>
    </row>
    <row r="791">
      <c r="F791" s="40"/>
      <c r="H791" s="40"/>
      <c r="I791" s="57"/>
      <c r="J791" s="43"/>
      <c r="K791" s="40"/>
      <c r="L791" s="40"/>
      <c r="M791" s="41"/>
      <c r="N791" s="41"/>
      <c r="O791" s="41" t="s">
        <v>78</v>
      </c>
      <c r="P791" s="41" t="s">
        <v>78</v>
      </c>
      <c r="Q791" s="41"/>
      <c r="R791" s="41"/>
    </row>
    <row r="792">
      <c r="F792" s="40"/>
      <c r="H792" s="40"/>
      <c r="I792" s="57"/>
      <c r="J792" s="43"/>
      <c r="K792" s="40"/>
      <c r="L792" s="40"/>
      <c r="M792" s="41"/>
      <c r="N792" s="41"/>
      <c r="O792" s="41" t="s">
        <v>78</v>
      </c>
      <c r="P792" s="41" t="s">
        <v>78</v>
      </c>
      <c r="Q792" s="41"/>
      <c r="R792" s="41"/>
    </row>
    <row r="793">
      <c r="F793" s="40"/>
      <c r="H793" s="40"/>
      <c r="I793" s="57"/>
      <c r="J793" s="43"/>
      <c r="K793" s="40"/>
      <c r="L793" s="40"/>
      <c r="M793" s="41"/>
      <c r="N793" s="41"/>
      <c r="O793" s="41" t="s">
        <v>78</v>
      </c>
      <c r="P793" s="41" t="s">
        <v>78</v>
      </c>
      <c r="Q793" s="41"/>
      <c r="R793" s="41"/>
    </row>
    <row r="794">
      <c r="F794" s="40"/>
      <c r="H794" s="40"/>
      <c r="I794" s="57"/>
      <c r="J794" s="43"/>
      <c r="K794" s="40"/>
      <c r="L794" s="40"/>
      <c r="M794" s="41"/>
      <c r="N794" s="41"/>
      <c r="O794" s="41" t="s">
        <v>78</v>
      </c>
      <c r="P794" s="41" t="s">
        <v>78</v>
      </c>
      <c r="Q794" s="41"/>
      <c r="R794" s="41"/>
    </row>
    <row r="795">
      <c r="F795" s="40"/>
      <c r="H795" s="40"/>
      <c r="I795" s="57"/>
      <c r="J795" s="43"/>
      <c r="K795" s="40"/>
      <c r="L795" s="40"/>
      <c r="M795" s="41"/>
      <c r="N795" s="41"/>
      <c r="O795" s="41" t="s">
        <v>78</v>
      </c>
      <c r="P795" s="41" t="s">
        <v>78</v>
      </c>
      <c r="Q795" s="41"/>
      <c r="R795" s="41"/>
    </row>
    <row r="796">
      <c r="F796" s="40"/>
      <c r="H796" s="40"/>
      <c r="I796" s="57"/>
      <c r="J796" s="43"/>
      <c r="K796" s="40"/>
      <c r="L796" s="40"/>
      <c r="M796" s="41"/>
      <c r="N796" s="41"/>
      <c r="O796" s="41" t="s">
        <v>78</v>
      </c>
      <c r="P796" s="41" t="s">
        <v>78</v>
      </c>
      <c r="Q796" s="41"/>
      <c r="R796" s="41"/>
    </row>
    <row r="797">
      <c r="F797" s="40"/>
      <c r="H797" s="40"/>
      <c r="I797" s="57"/>
      <c r="J797" s="43"/>
      <c r="K797" s="40"/>
      <c r="L797" s="40"/>
      <c r="M797" s="41"/>
      <c r="N797" s="41"/>
      <c r="O797" s="41" t="s">
        <v>78</v>
      </c>
      <c r="P797" s="41" t="s">
        <v>78</v>
      </c>
      <c r="Q797" s="41"/>
      <c r="R797" s="41"/>
    </row>
    <row r="798">
      <c r="F798" s="40"/>
      <c r="H798" s="40"/>
      <c r="I798" s="57"/>
      <c r="J798" s="43"/>
      <c r="K798" s="40"/>
      <c r="L798" s="40"/>
      <c r="M798" s="41"/>
      <c r="N798" s="41"/>
      <c r="O798" s="41" t="s">
        <v>78</v>
      </c>
      <c r="P798" s="41" t="s">
        <v>78</v>
      </c>
      <c r="Q798" s="41"/>
      <c r="R798" s="41"/>
    </row>
    <row r="799">
      <c r="F799" s="40"/>
      <c r="H799" s="40"/>
      <c r="I799" s="57"/>
      <c r="J799" s="43"/>
      <c r="K799" s="40"/>
      <c r="L799" s="40"/>
      <c r="M799" s="41"/>
      <c r="N799" s="41"/>
      <c r="O799" s="41" t="s">
        <v>78</v>
      </c>
      <c r="P799" s="41" t="s">
        <v>78</v>
      </c>
      <c r="Q799" s="41"/>
      <c r="R799" s="41"/>
    </row>
    <row r="800">
      <c r="F800" s="40"/>
      <c r="H800" s="40"/>
      <c r="I800" s="57"/>
      <c r="J800" s="43"/>
      <c r="K800" s="40"/>
      <c r="L800" s="40"/>
      <c r="M800" s="41"/>
      <c r="N800" s="41"/>
      <c r="O800" s="41" t="s">
        <v>78</v>
      </c>
      <c r="P800" s="41" t="s">
        <v>78</v>
      </c>
      <c r="Q800" s="41"/>
      <c r="R800" s="41"/>
    </row>
    <row r="801">
      <c r="F801" s="40"/>
      <c r="H801" s="40"/>
      <c r="I801" s="57"/>
      <c r="J801" s="43"/>
      <c r="K801" s="40"/>
      <c r="L801" s="40"/>
      <c r="M801" s="41"/>
      <c r="N801" s="41"/>
      <c r="O801" s="41" t="s">
        <v>78</v>
      </c>
      <c r="P801" s="41" t="s">
        <v>78</v>
      </c>
      <c r="Q801" s="41"/>
      <c r="R801" s="41"/>
    </row>
    <row r="802">
      <c r="F802" s="40"/>
      <c r="H802" s="40"/>
      <c r="I802" s="57"/>
      <c r="J802" s="43"/>
      <c r="K802" s="40"/>
      <c r="L802" s="40"/>
      <c r="M802" s="41"/>
      <c r="N802" s="41"/>
      <c r="O802" s="41" t="s">
        <v>78</v>
      </c>
      <c r="P802" s="41" t="s">
        <v>78</v>
      </c>
      <c r="Q802" s="41"/>
      <c r="R802" s="41"/>
    </row>
    <row r="803">
      <c r="F803" s="40"/>
      <c r="H803" s="40"/>
      <c r="I803" s="57"/>
      <c r="J803" s="43"/>
      <c r="K803" s="40"/>
      <c r="L803" s="40"/>
      <c r="M803" s="41"/>
      <c r="N803" s="41"/>
      <c r="O803" s="41" t="s">
        <v>78</v>
      </c>
      <c r="P803" s="41" t="s">
        <v>78</v>
      </c>
      <c r="Q803" s="41"/>
      <c r="R803" s="41"/>
    </row>
    <row r="804">
      <c r="F804" s="40"/>
      <c r="H804" s="40"/>
      <c r="I804" s="57"/>
      <c r="J804" s="43"/>
      <c r="K804" s="40"/>
      <c r="L804" s="40"/>
      <c r="M804" s="41"/>
      <c r="N804" s="41"/>
      <c r="O804" s="41" t="s">
        <v>78</v>
      </c>
      <c r="P804" s="41" t="s">
        <v>78</v>
      </c>
      <c r="Q804" s="41"/>
      <c r="R804" s="41"/>
    </row>
    <row r="805">
      <c r="F805" s="40"/>
      <c r="H805" s="40"/>
      <c r="I805" s="57"/>
      <c r="J805" s="43"/>
      <c r="K805" s="40"/>
      <c r="L805" s="40"/>
      <c r="M805" s="41"/>
      <c r="N805" s="41"/>
      <c r="O805" s="41" t="s">
        <v>78</v>
      </c>
      <c r="P805" s="41" t="s">
        <v>78</v>
      </c>
      <c r="Q805" s="41"/>
      <c r="R805" s="41"/>
    </row>
    <row r="806">
      <c r="F806" s="40"/>
      <c r="H806" s="40"/>
      <c r="I806" s="57"/>
      <c r="J806" s="43"/>
      <c r="K806" s="40"/>
      <c r="L806" s="40"/>
      <c r="M806" s="41"/>
      <c r="N806" s="41"/>
      <c r="O806" s="41" t="s">
        <v>78</v>
      </c>
      <c r="P806" s="41" t="s">
        <v>78</v>
      </c>
      <c r="Q806" s="41"/>
      <c r="R806" s="41"/>
    </row>
    <row r="807">
      <c r="F807" s="40"/>
      <c r="H807" s="40"/>
      <c r="I807" s="57"/>
      <c r="J807" s="43"/>
      <c r="K807" s="40"/>
      <c r="L807" s="40"/>
      <c r="M807" s="41"/>
      <c r="N807" s="41"/>
      <c r="O807" s="41" t="s">
        <v>78</v>
      </c>
      <c r="P807" s="41" t="s">
        <v>78</v>
      </c>
      <c r="Q807" s="41"/>
      <c r="R807" s="41"/>
    </row>
    <row r="808">
      <c r="F808" s="40"/>
      <c r="H808" s="40"/>
      <c r="I808" s="57"/>
      <c r="J808" s="43"/>
      <c r="K808" s="40"/>
      <c r="L808" s="40"/>
      <c r="M808" s="41"/>
      <c r="N808" s="41"/>
      <c r="O808" s="41" t="s">
        <v>78</v>
      </c>
      <c r="P808" s="41" t="s">
        <v>78</v>
      </c>
      <c r="Q808" s="41"/>
      <c r="R808" s="41"/>
    </row>
    <row r="809">
      <c r="F809" s="40"/>
      <c r="H809" s="40"/>
      <c r="I809" s="57"/>
      <c r="J809" s="43"/>
      <c r="K809" s="40"/>
      <c r="L809" s="40"/>
      <c r="M809" s="41"/>
      <c r="N809" s="41"/>
      <c r="O809" s="41" t="s">
        <v>78</v>
      </c>
      <c r="P809" s="41" t="s">
        <v>78</v>
      </c>
      <c r="Q809" s="41"/>
      <c r="R809" s="41"/>
    </row>
    <row r="810">
      <c r="F810" s="40"/>
      <c r="H810" s="40"/>
      <c r="I810" s="57"/>
      <c r="J810" s="43"/>
      <c r="K810" s="40"/>
      <c r="L810" s="40"/>
      <c r="M810" s="41"/>
      <c r="N810" s="41"/>
      <c r="O810" s="41" t="s">
        <v>78</v>
      </c>
      <c r="P810" s="41" t="s">
        <v>78</v>
      </c>
      <c r="Q810" s="41"/>
      <c r="R810" s="41"/>
    </row>
    <row r="811">
      <c r="F811" s="40"/>
      <c r="H811" s="40"/>
      <c r="I811" s="57"/>
      <c r="J811" s="43"/>
      <c r="K811" s="40"/>
      <c r="L811" s="40"/>
      <c r="M811" s="41"/>
      <c r="N811" s="41"/>
      <c r="O811" s="41" t="s">
        <v>78</v>
      </c>
      <c r="P811" s="41" t="s">
        <v>78</v>
      </c>
      <c r="Q811" s="41"/>
      <c r="R811" s="41"/>
    </row>
    <row r="812">
      <c r="F812" s="40"/>
      <c r="H812" s="40"/>
      <c r="I812" s="57"/>
      <c r="J812" s="43"/>
      <c r="K812" s="40"/>
      <c r="L812" s="40"/>
      <c r="M812" s="41"/>
      <c r="N812" s="41"/>
      <c r="O812" s="41" t="s">
        <v>78</v>
      </c>
      <c r="P812" s="41" t="s">
        <v>78</v>
      </c>
      <c r="Q812" s="41"/>
      <c r="R812" s="41"/>
    </row>
    <row r="813">
      <c r="F813" s="40"/>
      <c r="H813" s="40"/>
      <c r="I813" s="57"/>
      <c r="J813" s="43"/>
      <c r="K813" s="40"/>
      <c r="L813" s="40"/>
      <c r="M813" s="41"/>
      <c r="N813" s="41"/>
      <c r="O813" s="41" t="s">
        <v>78</v>
      </c>
      <c r="P813" s="41" t="s">
        <v>78</v>
      </c>
      <c r="Q813" s="41"/>
      <c r="R813" s="41"/>
    </row>
    <row r="814">
      <c r="F814" s="40"/>
      <c r="H814" s="40"/>
      <c r="I814" s="57"/>
      <c r="J814" s="43"/>
      <c r="K814" s="40"/>
      <c r="L814" s="40"/>
      <c r="M814" s="41"/>
      <c r="N814" s="41"/>
      <c r="O814" s="41" t="s">
        <v>78</v>
      </c>
      <c r="P814" s="41" t="s">
        <v>78</v>
      </c>
      <c r="Q814" s="41"/>
      <c r="R814" s="41"/>
    </row>
    <row r="815">
      <c r="F815" s="40"/>
      <c r="H815" s="40"/>
      <c r="I815" s="57"/>
      <c r="J815" s="43"/>
      <c r="K815" s="40"/>
      <c r="L815" s="40"/>
      <c r="M815" s="41"/>
      <c r="N815" s="41"/>
      <c r="O815" s="41" t="s">
        <v>78</v>
      </c>
      <c r="P815" s="41" t="s">
        <v>78</v>
      </c>
      <c r="Q815" s="41"/>
      <c r="R815" s="41"/>
    </row>
    <row r="816">
      <c r="F816" s="40"/>
      <c r="H816" s="40"/>
      <c r="I816" s="57"/>
      <c r="J816" s="43"/>
      <c r="K816" s="40"/>
      <c r="L816" s="40"/>
      <c r="M816" s="41"/>
      <c r="N816" s="41"/>
      <c r="O816" s="41" t="s">
        <v>78</v>
      </c>
      <c r="P816" s="41" t="s">
        <v>78</v>
      </c>
      <c r="Q816" s="41"/>
      <c r="R816" s="41"/>
    </row>
    <row r="817">
      <c r="F817" s="40"/>
      <c r="H817" s="40"/>
      <c r="I817" s="57"/>
      <c r="J817" s="43"/>
      <c r="K817" s="40"/>
      <c r="L817" s="40"/>
      <c r="M817" s="41"/>
      <c r="N817" s="41"/>
      <c r="O817" s="41" t="s">
        <v>78</v>
      </c>
      <c r="P817" s="41" t="s">
        <v>78</v>
      </c>
      <c r="Q817" s="41"/>
      <c r="R817" s="41"/>
    </row>
    <row r="818">
      <c r="F818" s="40"/>
      <c r="H818" s="40"/>
      <c r="I818" s="57"/>
      <c r="J818" s="43"/>
      <c r="K818" s="40"/>
      <c r="L818" s="40"/>
      <c r="M818" s="41"/>
      <c r="N818" s="41"/>
      <c r="O818" s="41" t="s">
        <v>78</v>
      </c>
      <c r="P818" s="41" t="s">
        <v>78</v>
      </c>
      <c r="Q818" s="41"/>
      <c r="R818" s="41"/>
    </row>
    <row r="819">
      <c r="F819" s="40"/>
      <c r="H819" s="40"/>
      <c r="I819" s="57"/>
      <c r="J819" s="43"/>
      <c r="K819" s="40"/>
      <c r="L819" s="40"/>
      <c r="M819" s="41"/>
      <c r="N819" s="41"/>
      <c r="O819" s="41" t="s">
        <v>78</v>
      </c>
      <c r="P819" s="41" t="s">
        <v>78</v>
      </c>
      <c r="Q819" s="41"/>
      <c r="R819" s="41"/>
    </row>
    <row r="820">
      <c r="F820" s="40"/>
      <c r="H820" s="40"/>
      <c r="I820" s="57"/>
      <c r="J820" s="43"/>
      <c r="K820" s="40"/>
      <c r="L820" s="40"/>
      <c r="M820" s="41"/>
      <c r="N820" s="41"/>
      <c r="O820" s="41" t="s">
        <v>78</v>
      </c>
      <c r="P820" s="41" t="s">
        <v>78</v>
      </c>
      <c r="Q820" s="41"/>
      <c r="R820" s="41"/>
    </row>
    <row r="821">
      <c r="F821" s="40"/>
      <c r="H821" s="40"/>
      <c r="I821" s="57"/>
      <c r="J821" s="43"/>
      <c r="K821" s="40"/>
      <c r="L821" s="40"/>
      <c r="M821" s="41"/>
      <c r="N821" s="41"/>
      <c r="O821" s="41" t="s">
        <v>78</v>
      </c>
      <c r="P821" s="41" t="s">
        <v>78</v>
      </c>
      <c r="Q821" s="41"/>
      <c r="R821" s="41"/>
    </row>
    <row r="822">
      <c r="F822" s="40"/>
      <c r="H822" s="40"/>
      <c r="I822" s="57"/>
      <c r="J822" s="43"/>
      <c r="K822" s="40"/>
      <c r="L822" s="40"/>
      <c r="M822" s="41"/>
      <c r="N822" s="41"/>
      <c r="O822" s="41" t="s">
        <v>78</v>
      </c>
      <c r="P822" s="41" t="s">
        <v>78</v>
      </c>
      <c r="Q822" s="41"/>
      <c r="R822" s="41"/>
    </row>
    <row r="823">
      <c r="F823" s="40"/>
      <c r="H823" s="40"/>
      <c r="I823" s="57"/>
      <c r="J823" s="43"/>
      <c r="K823" s="40"/>
      <c r="L823" s="40"/>
      <c r="M823" s="41"/>
      <c r="N823" s="41"/>
      <c r="O823" s="41" t="s">
        <v>78</v>
      </c>
      <c r="P823" s="41" t="s">
        <v>78</v>
      </c>
      <c r="Q823" s="41"/>
      <c r="R823" s="41"/>
    </row>
    <row r="824">
      <c r="F824" s="40"/>
      <c r="H824" s="40"/>
      <c r="I824" s="57"/>
      <c r="J824" s="43"/>
      <c r="K824" s="40"/>
      <c r="L824" s="40"/>
      <c r="M824" s="41"/>
      <c r="N824" s="41"/>
      <c r="O824" s="41" t="s">
        <v>78</v>
      </c>
      <c r="P824" s="41" t="s">
        <v>78</v>
      </c>
      <c r="Q824" s="41"/>
      <c r="R824" s="41"/>
    </row>
    <row r="825">
      <c r="F825" s="40"/>
      <c r="H825" s="40"/>
      <c r="I825" s="57"/>
      <c r="J825" s="43"/>
      <c r="K825" s="40"/>
      <c r="L825" s="40"/>
      <c r="M825" s="41"/>
      <c r="N825" s="41"/>
      <c r="O825" s="41" t="s">
        <v>78</v>
      </c>
      <c r="P825" s="41" t="s">
        <v>78</v>
      </c>
      <c r="Q825" s="41"/>
      <c r="R825" s="41"/>
    </row>
    <row r="826">
      <c r="F826" s="40"/>
      <c r="H826" s="40"/>
      <c r="I826" s="57"/>
      <c r="J826" s="43"/>
      <c r="K826" s="40"/>
      <c r="L826" s="40"/>
      <c r="M826" s="41"/>
      <c r="N826" s="41"/>
      <c r="O826" s="41" t="s">
        <v>78</v>
      </c>
      <c r="P826" s="41" t="s">
        <v>78</v>
      </c>
      <c r="Q826" s="41"/>
      <c r="R826" s="41"/>
    </row>
    <row r="827">
      <c r="F827" s="40"/>
      <c r="H827" s="40"/>
      <c r="I827" s="57"/>
      <c r="J827" s="43"/>
      <c r="K827" s="40"/>
      <c r="L827" s="40"/>
      <c r="M827" s="41"/>
      <c r="N827" s="41"/>
      <c r="O827" s="41" t="s">
        <v>78</v>
      </c>
      <c r="P827" s="41" t="s">
        <v>78</v>
      </c>
      <c r="Q827" s="41"/>
      <c r="R827" s="41"/>
    </row>
    <row r="828">
      <c r="F828" s="40"/>
      <c r="H828" s="40"/>
      <c r="I828" s="57"/>
      <c r="J828" s="43"/>
      <c r="K828" s="40"/>
      <c r="L828" s="40"/>
      <c r="M828" s="41"/>
      <c r="N828" s="41"/>
      <c r="O828" s="41" t="s">
        <v>78</v>
      </c>
      <c r="P828" s="41" t="s">
        <v>78</v>
      </c>
      <c r="Q828" s="41"/>
      <c r="R828" s="41"/>
    </row>
    <row r="829">
      <c r="F829" s="40"/>
      <c r="H829" s="40"/>
      <c r="I829" s="57"/>
      <c r="J829" s="43"/>
      <c r="K829" s="40"/>
      <c r="L829" s="40"/>
      <c r="M829" s="41"/>
      <c r="N829" s="41"/>
      <c r="O829" s="41" t="s">
        <v>78</v>
      </c>
      <c r="P829" s="41" t="s">
        <v>78</v>
      </c>
      <c r="Q829" s="41"/>
      <c r="R829" s="41"/>
    </row>
    <row r="830">
      <c r="F830" s="40"/>
      <c r="H830" s="40"/>
      <c r="I830" s="57"/>
      <c r="J830" s="43"/>
      <c r="K830" s="40"/>
      <c r="L830" s="40"/>
      <c r="M830" s="41"/>
      <c r="N830" s="41"/>
      <c r="O830" s="41" t="s">
        <v>78</v>
      </c>
      <c r="P830" s="41" t="s">
        <v>78</v>
      </c>
      <c r="Q830" s="41"/>
      <c r="R830" s="41"/>
    </row>
    <row r="831">
      <c r="F831" s="40"/>
      <c r="H831" s="40"/>
      <c r="I831" s="57"/>
      <c r="J831" s="43"/>
      <c r="K831" s="40"/>
      <c r="L831" s="40"/>
      <c r="M831" s="41"/>
      <c r="N831" s="41"/>
      <c r="O831" s="41" t="s">
        <v>78</v>
      </c>
      <c r="P831" s="41" t="s">
        <v>78</v>
      </c>
      <c r="Q831" s="41"/>
      <c r="R831" s="41"/>
    </row>
    <row r="832">
      <c r="F832" s="40"/>
      <c r="H832" s="40"/>
      <c r="I832" s="57"/>
      <c r="J832" s="43"/>
      <c r="K832" s="40"/>
      <c r="L832" s="40"/>
      <c r="M832" s="41"/>
      <c r="N832" s="41"/>
      <c r="O832" s="41" t="s">
        <v>78</v>
      </c>
      <c r="P832" s="41" t="s">
        <v>78</v>
      </c>
      <c r="Q832" s="41"/>
      <c r="R832" s="41"/>
    </row>
    <row r="833">
      <c r="F833" s="40"/>
      <c r="H833" s="40"/>
      <c r="I833" s="57"/>
      <c r="J833" s="43"/>
      <c r="K833" s="40"/>
      <c r="L833" s="40"/>
      <c r="M833" s="41"/>
      <c r="N833" s="41"/>
      <c r="O833" s="41" t="s">
        <v>78</v>
      </c>
      <c r="P833" s="41" t="s">
        <v>78</v>
      </c>
      <c r="Q833" s="41"/>
      <c r="R833" s="41"/>
    </row>
    <row r="834">
      <c r="F834" s="40"/>
      <c r="H834" s="40"/>
      <c r="I834" s="57"/>
      <c r="J834" s="43"/>
      <c r="K834" s="40"/>
      <c r="L834" s="40"/>
      <c r="M834" s="41"/>
      <c r="N834" s="41"/>
      <c r="O834" s="41" t="s">
        <v>78</v>
      </c>
      <c r="P834" s="41" t="s">
        <v>78</v>
      </c>
      <c r="Q834" s="41"/>
      <c r="R834" s="41"/>
    </row>
    <row r="835">
      <c r="F835" s="40"/>
      <c r="H835" s="40"/>
      <c r="I835" s="57"/>
      <c r="J835" s="43"/>
      <c r="K835" s="40"/>
      <c r="L835" s="40"/>
      <c r="M835" s="41"/>
      <c r="N835" s="41"/>
      <c r="O835" s="41" t="s">
        <v>78</v>
      </c>
      <c r="P835" s="41" t="s">
        <v>78</v>
      </c>
      <c r="Q835" s="41"/>
      <c r="R835" s="41"/>
    </row>
    <row r="836">
      <c r="F836" s="40"/>
      <c r="H836" s="40"/>
      <c r="I836" s="57"/>
      <c r="J836" s="43"/>
      <c r="K836" s="40"/>
      <c r="L836" s="40"/>
      <c r="M836" s="41"/>
      <c r="N836" s="41"/>
      <c r="O836" s="41" t="s">
        <v>78</v>
      </c>
      <c r="P836" s="41" t="s">
        <v>78</v>
      </c>
      <c r="Q836" s="41"/>
      <c r="R836" s="41"/>
    </row>
    <row r="837">
      <c r="F837" s="40"/>
      <c r="H837" s="40"/>
      <c r="I837" s="57"/>
      <c r="J837" s="43"/>
      <c r="K837" s="40"/>
      <c r="L837" s="40"/>
      <c r="M837" s="41"/>
      <c r="N837" s="41"/>
      <c r="O837" s="41" t="s">
        <v>78</v>
      </c>
      <c r="P837" s="41" t="s">
        <v>78</v>
      </c>
      <c r="Q837" s="41"/>
      <c r="R837" s="41"/>
    </row>
    <row r="838">
      <c r="F838" s="40"/>
      <c r="H838" s="40"/>
      <c r="I838" s="57"/>
      <c r="J838" s="43"/>
      <c r="K838" s="40"/>
      <c r="L838" s="40"/>
      <c r="M838" s="41"/>
      <c r="N838" s="41"/>
      <c r="O838" s="41" t="s">
        <v>78</v>
      </c>
      <c r="P838" s="41" t="s">
        <v>78</v>
      </c>
      <c r="Q838" s="41"/>
      <c r="R838" s="41"/>
    </row>
    <row r="839">
      <c r="F839" s="40"/>
      <c r="H839" s="40"/>
      <c r="I839" s="57"/>
      <c r="J839" s="43"/>
      <c r="K839" s="40"/>
      <c r="L839" s="40"/>
      <c r="M839" s="41"/>
      <c r="N839" s="41"/>
      <c r="O839" s="41" t="s">
        <v>78</v>
      </c>
      <c r="P839" s="41" t="s">
        <v>78</v>
      </c>
      <c r="Q839" s="41"/>
      <c r="R839" s="41"/>
    </row>
    <row r="840">
      <c r="F840" s="40"/>
      <c r="H840" s="40"/>
      <c r="I840" s="57"/>
      <c r="J840" s="43"/>
      <c r="K840" s="40"/>
      <c r="L840" s="40"/>
      <c r="M840" s="41"/>
      <c r="N840" s="41"/>
      <c r="O840" s="41" t="s">
        <v>78</v>
      </c>
      <c r="P840" s="41" t="s">
        <v>78</v>
      </c>
      <c r="Q840" s="41"/>
      <c r="R840" s="41"/>
    </row>
    <row r="841">
      <c r="F841" s="40"/>
      <c r="H841" s="40"/>
      <c r="I841" s="57"/>
      <c r="J841" s="43"/>
      <c r="K841" s="40"/>
      <c r="L841" s="40"/>
      <c r="M841" s="41"/>
      <c r="N841" s="41"/>
      <c r="O841" s="41" t="s">
        <v>78</v>
      </c>
      <c r="P841" s="41" t="s">
        <v>78</v>
      </c>
      <c r="Q841" s="41"/>
      <c r="R841" s="41"/>
    </row>
    <row r="842">
      <c r="F842" s="40"/>
      <c r="H842" s="40"/>
      <c r="I842" s="57"/>
      <c r="J842" s="43"/>
      <c r="K842" s="40"/>
      <c r="L842" s="40"/>
      <c r="M842" s="41"/>
      <c r="N842" s="41"/>
      <c r="O842" s="41" t="s">
        <v>78</v>
      </c>
      <c r="P842" s="41" t="s">
        <v>78</v>
      </c>
      <c r="Q842" s="41"/>
      <c r="R842" s="41"/>
    </row>
    <row r="843">
      <c r="F843" s="40"/>
      <c r="H843" s="40"/>
      <c r="I843" s="57"/>
      <c r="J843" s="43"/>
      <c r="K843" s="40"/>
      <c r="L843" s="40"/>
      <c r="M843" s="41"/>
      <c r="N843" s="41"/>
      <c r="O843" s="41" t="s">
        <v>78</v>
      </c>
      <c r="P843" s="41" t="s">
        <v>78</v>
      </c>
      <c r="Q843" s="41"/>
      <c r="R843" s="41"/>
    </row>
    <row r="844">
      <c r="F844" s="40"/>
      <c r="H844" s="40"/>
      <c r="I844" s="57"/>
      <c r="J844" s="43"/>
      <c r="K844" s="40"/>
      <c r="L844" s="40"/>
      <c r="M844" s="41"/>
      <c r="N844" s="41"/>
      <c r="O844" s="41" t="s">
        <v>78</v>
      </c>
      <c r="P844" s="41" t="s">
        <v>78</v>
      </c>
      <c r="Q844" s="41"/>
      <c r="R844" s="41"/>
    </row>
    <row r="845">
      <c r="F845" s="40"/>
      <c r="H845" s="40"/>
      <c r="I845" s="57"/>
      <c r="J845" s="43"/>
      <c r="K845" s="40"/>
      <c r="L845" s="40"/>
      <c r="M845" s="41"/>
      <c r="N845" s="41"/>
      <c r="O845" s="41" t="s">
        <v>78</v>
      </c>
      <c r="P845" s="41" t="s">
        <v>78</v>
      </c>
      <c r="Q845" s="41"/>
      <c r="R845" s="41"/>
    </row>
    <row r="846">
      <c r="F846" s="40"/>
      <c r="H846" s="40"/>
      <c r="I846" s="57"/>
      <c r="J846" s="43"/>
      <c r="K846" s="40"/>
      <c r="L846" s="40"/>
      <c r="M846" s="41"/>
      <c r="N846" s="41"/>
      <c r="O846" s="41" t="s">
        <v>78</v>
      </c>
      <c r="P846" s="41" t="s">
        <v>78</v>
      </c>
      <c r="Q846" s="41"/>
      <c r="R846" s="41"/>
    </row>
    <row r="847">
      <c r="F847" s="40"/>
      <c r="H847" s="40"/>
      <c r="I847" s="57"/>
      <c r="J847" s="43"/>
      <c r="K847" s="40"/>
      <c r="L847" s="40"/>
      <c r="M847" s="41"/>
      <c r="N847" s="41"/>
      <c r="O847" s="41" t="s">
        <v>78</v>
      </c>
      <c r="P847" s="41" t="s">
        <v>78</v>
      </c>
      <c r="Q847" s="41"/>
      <c r="R847" s="41"/>
    </row>
    <row r="848">
      <c r="F848" s="40"/>
      <c r="H848" s="40"/>
      <c r="I848" s="57"/>
      <c r="J848" s="43"/>
      <c r="K848" s="40"/>
      <c r="L848" s="40"/>
      <c r="M848" s="41"/>
      <c r="N848" s="41"/>
      <c r="O848" s="41" t="s">
        <v>78</v>
      </c>
      <c r="P848" s="41" t="s">
        <v>78</v>
      </c>
      <c r="Q848" s="41"/>
      <c r="R848" s="41"/>
    </row>
    <row r="849">
      <c r="F849" s="40"/>
      <c r="H849" s="40"/>
      <c r="I849" s="57"/>
      <c r="J849" s="43"/>
      <c r="K849" s="40"/>
      <c r="L849" s="40"/>
      <c r="M849" s="41"/>
      <c r="N849" s="41"/>
      <c r="O849" s="41" t="s">
        <v>78</v>
      </c>
      <c r="P849" s="41" t="s">
        <v>78</v>
      </c>
      <c r="Q849" s="41"/>
      <c r="R849" s="41"/>
    </row>
    <row r="850">
      <c r="F850" s="40"/>
      <c r="H850" s="40"/>
      <c r="I850" s="57"/>
      <c r="J850" s="43"/>
      <c r="K850" s="40"/>
      <c r="L850" s="40"/>
      <c r="M850" s="41"/>
      <c r="N850" s="41"/>
      <c r="O850" s="41" t="s">
        <v>78</v>
      </c>
      <c r="P850" s="41" t="s">
        <v>78</v>
      </c>
      <c r="Q850" s="41"/>
      <c r="R850" s="41"/>
    </row>
    <row r="851">
      <c r="F851" s="40"/>
      <c r="H851" s="40"/>
      <c r="I851" s="57"/>
      <c r="J851" s="43"/>
      <c r="K851" s="40"/>
      <c r="L851" s="40"/>
      <c r="M851" s="41"/>
      <c r="N851" s="41"/>
      <c r="O851" s="41" t="s">
        <v>78</v>
      </c>
      <c r="P851" s="41" t="s">
        <v>78</v>
      </c>
      <c r="Q851" s="41"/>
      <c r="R851" s="41"/>
    </row>
    <row r="852">
      <c r="F852" s="40"/>
      <c r="H852" s="40"/>
      <c r="I852" s="57"/>
      <c r="J852" s="43"/>
      <c r="K852" s="40"/>
      <c r="L852" s="40"/>
      <c r="M852" s="41"/>
      <c r="N852" s="41"/>
      <c r="O852" s="41" t="s">
        <v>78</v>
      </c>
      <c r="P852" s="41" t="s">
        <v>78</v>
      </c>
      <c r="Q852" s="41"/>
      <c r="R852" s="41"/>
    </row>
    <row r="853">
      <c r="F853" s="40"/>
      <c r="H853" s="40"/>
      <c r="I853" s="57"/>
      <c r="J853" s="43"/>
      <c r="K853" s="40"/>
      <c r="L853" s="40"/>
      <c r="M853" s="41"/>
      <c r="N853" s="41"/>
      <c r="O853" s="41" t="s">
        <v>78</v>
      </c>
      <c r="P853" s="41" t="s">
        <v>78</v>
      </c>
      <c r="Q853" s="41"/>
      <c r="R853" s="41"/>
    </row>
    <row r="854">
      <c r="F854" s="40"/>
      <c r="H854" s="40"/>
      <c r="I854" s="57"/>
      <c r="J854" s="43"/>
      <c r="K854" s="40"/>
      <c r="L854" s="40"/>
      <c r="M854" s="41"/>
      <c r="N854" s="41"/>
      <c r="O854" s="41" t="s">
        <v>78</v>
      </c>
      <c r="P854" s="41" t="s">
        <v>78</v>
      </c>
      <c r="Q854" s="41"/>
      <c r="R854" s="41"/>
    </row>
    <row r="855">
      <c r="F855" s="40"/>
      <c r="H855" s="40"/>
      <c r="I855" s="57"/>
      <c r="J855" s="43"/>
      <c r="K855" s="40"/>
      <c r="L855" s="40"/>
      <c r="M855" s="41"/>
      <c r="N855" s="41"/>
      <c r="O855" s="41" t="s">
        <v>78</v>
      </c>
      <c r="P855" s="41" t="s">
        <v>78</v>
      </c>
      <c r="Q855" s="41"/>
      <c r="R855" s="41"/>
    </row>
    <row r="856">
      <c r="F856" s="40"/>
      <c r="H856" s="40"/>
      <c r="I856" s="57"/>
      <c r="J856" s="43"/>
      <c r="K856" s="40"/>
      <c r="L856" s="40"/>
      <c r="M856" s="41"/>
      <c r="N856" s="41"/>
      <c r="O856" s="41" t="s">
        <v>78</v>
      </c>
      <c r="P856" s="41" t="s">
        <v>78</v>
      </c>
      <c r="Q856" s="41"/>
      <c r="R856" s="41"/>
    </row>
    <row r="857">
      <c r="F857" s="40"/>
      <c r="H857" s="40"/>
      <c r="I857" s="57"/>
      <c r="J857" s="43"/>
      <c r="K857" s="40"/>
      <c r="L857" s="40"/>
      <c r="M857" s="41"/>
      <c r="N857" s="41"/>
      <c r="O857" s="41" t="s">
        <v>78</v>
      </c>
      <c r="P857" s="41" t="s">
        <v>78</v>
      </c>
      <c r="Q857" s="41"/>
      <c r="R857" s="41"/>
    </row>
    <row r="858">
      <c r="F858" s="40"/>
      <c r="H858" s="40"/>
      <c r="I858" s="57"/>
      <c r="J858" s="43"/>
      <c r="K858" s="40"/>
      <c r="L858" s="40"/>
      <c r="M858" s="41"/>
      <c r="N858" s="41"/>
      <c r="O858" s="41" t="s">
        <v>78</v>
      </c>
      <c r="P858" s="41" t="s">
        <v>78</v>
      </c>
      <c r="Q858" s="41"/>
      <c r="R858" s="41"/>
    </row>
    <row r="859">
      <c r="F859" s="40"/>
      <c r="H859" s="40"/>
      <c r="I859" s="57"/>
      <c r="J859" s="43"/>
      <c r="K859" s="40"/>
      <c r="L859" s="40"/>
      <c r="M859" s="41"/>
      <c r="N859" s="41"/>
      <c r="O859" s="41" t="s">
        <v>78</v>
      </c>
      <c r="P859" s="41" t="s">
        <v>78</v>
      </c>
      <c r="Q859" s="41"/>
      <c r="R859" s="41"/>
    </row>
    <row r="860">
      <c r="F860" s="40"/>
      <c r="H860" s="40"/>
      <c r="I860" s="57"/>
      <c r="J860" s="43"/>
      <c r="K860" s="40"/>
      <c r="L860" s="40"/>
      <c r="M860" s="41"/>
      <c r="N860" s="41"/>
      <c r="O860" s="41" t="s">
        <v>78</v>
      </c>
      <c r="P860" s="41" t="s">
        <v>78</v>
      </c>
      <c r="Q860" s="41"/>
      <c r="R860" s="41"/>
    </row>
    <row r="861">
      <c r="F861" s="40"/>
      <c r="H861" s="40"/>
      <c r="I861" s="57"/>
      <c r="J861" s="43"/>
      <c r="K861" s="40"/>
      <c r="L861" s="40"/>
      <c r="M861" s="41"/>
      <c r="N861" s="41"/>
      <c r="O861" s="41" t="s">
        <v>78</v>
      </c>
      <c r="P861" s="41" t="s">
        <v>78</v>
      </c>
      <c r="Q861" s="41"/>
      <c r="R861" s="41"/>
    </row>
    <row r="862">
      <c r="F862" s="40"/>
      <c r="H862" s="40"/>
      <c r="I862" s="57"/>
      <c r="J862" s="43"/>
      <c r="K862" s="40"/>
      <c r="L862" s="40"/>
      <c r="M862" s="41"/>
      <c r="N862" s="41"/>
      <c r="O862" s="41" t="s">
        <v>78</v>
      </c>
      <c r="P862" s="41" t="s">
        <v>78</v>
      </c>
      <c r="Q862" s="41"/>
      <c r="R862" s="41"/>
    </row>
    <row r="863">
      <c r="F863" s="40"/>
      <c r="H863" s="40"/>
      <c r="I863" s="57"/>
      <c r="J863" s="43"/>
      <c r="K863" s="40"/>
      <c r="L863" s="40"/>
      <c r="M863" s="41"/>
      <c r="N863" s="41"/>
      <c r="O863" s="41" t="s">
        <v>78</v>
      </c>
      <c r="P863" s="41" t="s">
        <v>78</v>
      </c>
      <c r="Q863" s="41"/>
      <c r="R863" s="41"/>
    </row>
    <row r="864">
      <c r="F864" s="40"/>
      <c r="H864" s="40"/>
      <c r="I864" s="57"/>
      <c r="J864" s="43"/>
      <c r="K864" s="40"/>
      <c r="L864" s="40"/>
      <c r="M864" s="41"/>
      <c r="N864" s="41"/>
      <c r="O864" s="41" t="s">
        <v>78</v>
      </c>
      <c r="P864" s="41" t="s">
        <v>78</v>
      </c>
      <c r="Q864" s="41"/>
      <c r="R864" s="41"/>
    </row>
    <row r="865">
      <c r="F865" s="40"/>
      <c r="H865" s="40"/>
      <c r="I865" s="57"/>
      <c r="J865" s="43"/>
      <c r="K865" s="40"/>
      <c r="L865" s="40"/>
      <c r="M865" s="41"/>
      <c r="N865" s="41"/>
      <c r="O865" s="41" t="s">
        <v>78</v>
      </c>
      <c r="P865" s="41" t="s">
        <v>78</v>
      </c>
      <c r="Q865" s="41"/>
      <c r="R865" s="41"/>
    </row>
    <row r="866">
      <c r="F866" s="40"/>
      <c r="H866" s="40"/>
      <c r="I866" s="57"/>
      <c r="J866" s="43"/>
      <c r="K866" s="40"/>
      <c r="L866" s="40"/>
      <c r="M866" s="41"/>
      <c r="N866" s="41"/>
      <c r="O866" s="41" t="s">
        <v>78</v>
      </c>
      <c r="P866" s="41" t="s">
        <v>78</v>
      </c>
      <c r="Q866" s="41"/>
      <c r="R866" s="41"/>
    </row>
    <row r="867">
      <c r="F867" s="40"/>
      <c r="H867" s="40"/>
      <c r="I867" s="57"/>
      <c r="J867" s="43"/>
      <c r="K867" s="40"/>
      <c r="L867" s="40"/>
      <c r="M867" s="41"/>
      <c r="N867" s="41"/>
      <c r="O867" s="41" t="s">
        <v>78</v>
      </c>
      <c r="P867" s="41" t="s">
        <v>78</v>
      </c>
      <c r="Q867" s="41"/>
      <c r="R867" s="41"/>
    </row>
    <row r="868">
      <c r="F868" s="40"/>
      <c r="H868" s="40"/>
      <c r="I868" s="57"/>
      <c r="J868" s="43"/>
      <c r="K868" s="40"/>
      <c r="L868" s="40"/>
      <c r="M868" s="41"/>
      <c r="N868" s="41"/>
      <c r="O868" s="41" t="s">
        <v>78</v>
      </c>
      <c r="P868" s="41" t="s">
        <v>78</v>
      </c>
      <c r="Q868" s="41"/>
      <c r="R868" s="41"/>
    </row>
    <row r="869">
      <c r="F869" s="40"/>
      <c r="H869" s="40"/>
      <c r="I869" s="57"/>
      <c r="J869" s="43"/>
      <c r="K869" s="40"/>
      <c r="L869" s="40"/>
      <c r="M869" s="41"/>
      <c r="N869" s="41"/>
      <c r="O869" s="41" t="s">
        <v>78</v>
      </c>
      <c r="P869" s="41" t="s">
        <v>78</v>
      </c>
      <c r="Q869" s="41"/>
      <c r="R869" s="41"/>
    </row>
    <row r="870">
      <c r="F870" s="40"/>
      <c r="H870" s="40"/>
      <c r="I870" s="57"/>
      <c r="J870" s="43"/>
      <c r="K870" s="40"/>
      <c r="L870" s="40"/>
      <c r="M870" s="41"/>
      <c r="N870" s="41"/>
      <c r="O870" s="41" t="s">
        <v>78</v>
      </c>
      <c r="P870" s="41" t="s">
        <v>78</v>
      </c>
      <c r="Q870" s="41"/>
      <c r="R870" s="41"/>
    </row>
    <row r="871">
      <c r="F871" s="40"/>
      <c r="H871" s="40"/>
      <c r="I871" s="57"/>
      <c r="J871" s="43"/>
      <c r="K871" s="40"/>
      <c r="L871" s="40"/>
      <c r="M871" s="41"/>
      <c r="N871" s="41"/>
      <c r="O871" s="41" t="s">
        <v>78</v>
      </c>
      <c r="P871" s="41" t="s">
        <v>78</v>
      </c>
      <c r="Q871" s="41"/>
      <c r="R871" s="41"/>
    </row>
    <row r="872">
      <c r="F872" s="40"/>
      <c r="H872" s="40"/>
      <c r="I872" s="57"/>
      <c r="J872" s="43"/>
      <c r="K872" s="40"/>
      <c r="L872" s="40"/>
      <c r="M872" s="41"/>
      <c r="N872" s="41"/>
      <c r="O872" s="41" t="s">
        <v>78</v>
      </c>
      <c r="P872" s="41" t="s">
        <v>78</v>
      </c>
      <c r="Q872" s="41"/>
      <c r="R872" s="41"/>
    </row>
    <row r="873">
      <c r="F873" s="40"/>
      <c r="H873" s="40"/>
      <c r="I873" s="57"/>
      <c r="J873" s="43"/>
      <c r="K873" s="40"/>
      <c r="L873" s="40"/>
      <c r="M873" s="41"/>
      <c r="N873" s="41"/>
      <c r="O873" s="41" t="s">
        <v>78</v>
      </c>
      <c r="P873" s="41" t="s">
        <v>78</v>
      </c>
      <c r="Q873" s="41"/>
      <c r="R873" s="41"/>
    </row>
    <row r="874">
      <c r="F874" s="40"/>
      <c r="H874" s="40"/>
      <c r="I874" s="57"/>
      <c r="J874" s="43"/>
      <c r="K874" s="40"/>
      <c r="L874" s="40"/>
      <c r="M874" s="41"/>
      <c r="N874" s="41"/>
      <c r="O874" s="41" t="s">
        <v>78</v>
      </c>
      <c r="P874" s="41" t="s">
        <v>78</v>
      </c>
      <c r="Q874" s="41"/>
      <c r="R874" s="41"/>
    </row>
    <row r="875">
      <c r="F875" s="40"/>
      <c r="H875" s="40"/>
      <c r="I875" s="57"/>
      <c r="J875" s="43"/>
      <c r="K875" s="40"/>
      <c r="L875" s="40"/>
      <c r="M875" s="41"/>
      <c r="N875" s="41"/>
      <c r="O875" s="41" t="s">
        <v>78</v>
      </c>
      <c r="P875" s="41" t="s">
        <v>78</v>
      </c>
      <c r="Q875" s="41"/>
      <c r="R875" s="41"/>
    </row>
    <row r="876">
      <c r="F876" s="40"/>
      <c r="H876" s="40"/>
      <c r="I876" s="57"/>
      <c r="J876" s="43"/>
      <c r="K876" s="40"/>
      <c r="L876" s="40"/>
      <c r="M876" s="41"/>
      <c r="N876" s="41"/>
      <c r="O876" s="41" t="s">
        <v>78</v>
      </c>
      <c r="P876" s="41" t="s">
        <v>78</v>
      </c>
      <c r="Q876" s="41"/>
      <c r="R876" s="41"/>
    </row>
    <row r="877">
      <c r="F877" s="40"/>
      <c r="H877" s="40"/>
      <c r="I877" s="57"/>
      <c r="J877" s="43"/>
      <c r="K877" s="40"/>
      <c r="L877" s="40"/>
      <c r="M877" s="41"/>
      <c r="N877" s="41"/>
      <c r="O877" s="41" t="s">
        <v>78</v>
      </c>
      <c r="P877" s="41" t="s">
        <v>78</v>
      </c>
      <c r="Q877" s="41"/>
      <c r="R877" s="41"/>
    </row>
    <row r="878">
      <c r="F878" s="40"/>
      <c r="H878" s="40"/>
      <c r="I878" s="57"/>
      <c r="J878" s="43"/>
      <c r="K878" s="40"/>
      <c r="L878" s="40"/>
      <c r="M878" s="41"/>
      <c r="N878" s="41"/>
      <c r="O878" s="41" t="s">
        <v>78</v>
      </c>
      <c r="P878" s="41" t="s">
        <v>78</v>
      </c>
      <c r="Q878" s="41"/>
      <c r="R878" s="41"/>
    </row>
    <row r="879">
      <c r="F879" s="40"/>
      <c r="H879" s="40"/>
      <c r="I879" s="57"/>
      <c r="J879" s="43"/>
      <c r="K879" s="40"/>
      <c r="L879" s="40"/>
      <c r="M879" s="41"/>
      <c r="N879" s="41"/>
      <c r="O879" s="41" t="s">
        <v>78</v>
      </c>
      <c r="P879" s="41" t="s">
        <v>78</v>
      </c>
      <c r="Q879" s="41"/>
      <c r="R879" s="41"/>
    </row>
    <row r="880">
      <c r="F880" s="40"/>
      <c r="H880" s="40"/>
      <c r="I880" s="57"/>
      <c r="J880" s="43"/>
      <c r="K880" s="40"/>
      <c r="L880" s="40"/>
      <c r="M880" s="41"/>
      <c r="N880" s="41"/>
      <c r="O880" s="41" t="s">
        <v>78</v>
      </c>
      <c r="P880" s="41" t="s">
        <v>78</v>
      </c>
      <c r="Q880" s="41"/>
      <c r="R880" s="41"/>
    </row>
    <row r="881">
      <c r="F881" s="40"/>
      <c r="H881" s="40"/>
      <c r="I881" s="57"/>
      <c r="J881" s="43"/>
      <c r="K881" s="40"/>
      <c r="L881" s="40"/>
      <c r="M881" s="41"/>
      <c r="N881" s="41"/>
      <c r="O881" s="41" t="s">
        <v>78</v>
      </c>
      <c r="P881" s="41" t="s">
        <v>78</v>
      </c>
      <c r="Q881" s="41"/>
      <c r="R881" s="41"/>
    </row>
    <row r="882">
      <c r="F882" s="40"/>
      <c r="H882" s="40"/>
      <c r="I882" s="57"/>
      <c r="J882" s="43"/>
      <c r="K882" s="40"/>
      <c r="L882" s="40"/>
      <c r="M882" s="41"/>
      <c r="N882" s="41"/>
      <c r="O882" s="41" t="s">
        <v>78</v>
      </c>
      <c r="P882" s="41" t="s">
        <v>78</v>
      </c>
      <c r="Q882" s="41"/>
      <c r="R882" s="41"/>
    </row>
    <row r="883">
      <c r="F883" s="40"/>
      <c r="H883" s="40"/>
      <c r="I883" s="57"/>
      <c r="J883" s="43"/>
      <c r="K883" s="40"/>
      <c r="L883" s="40"/>
      <c r="M883" s="41"/>
      <c r="N883" s="41"/>
      <c r="O883" s="41" t="s">
        <v>78</v>
      </c>
      <c r="P883" s="41" t="s">
        <v>78</v>
      </c>
      <c r="Q883" s="41"/>
      <c r="R883" s="41"/>
    </row>
    <row r="884">
      <c r="F884" s="40"/>
      <c r="H884" s="40"/>
      <c r="I884" s="57"/>
      <c r="J884" s="43"/>
      <c r="K884" s="40"/>
      <c r="L884" s="40"/>
      <c r="M884" s="41"/>
      <c r="N884" s="41"/>
      <c r="O884" s="41" t="s">
        <v>78</v>
      </c>
      <c r="P884" s="41" t="s">
        <v>78</v>
      </c>
      <c r="Q884" s="41"/>
      <c r="R884" s="41"/>
    </row>
    <row r="885">
      <c r="F885" s="40"/>
      <c r="H885" s="40"/>
      <c r="I885" s="57"/>
      <c r="J885" s="43"/>
      <c r="K885" s="40"/>
      <c r="L885" s="40"/>
      <c r="M885" s="41"/>
      <c r="N885" s="41"/>
      <c r="O885" s="41" t="s">
        <v>78</v>
      </c>
      <c r="P885" s="41" t="s">
        <v>78</v>
      </c>
      <c r="Q885" s="41"/>
      <c r="R885" s="41"/>
    </row>
    <row r="886">
      <c r="F886" s="40"/>
      <c r="H886" s="40"/>
      <c r="I886" s="57"/>
      <c r="J886" s="43"/>
      <c r="K886" s="40"/>
      <c r="L886" s="40"/>
      <c r="M886" s="41"/>
      <c r="N886" s="41"/>
      <c r="O886" s="41" t="s">
        <v>78</v>
      </c>
      <c r="P886" s="41" t="s">
        <v>78</v>
      </c>
      <c r="Q886" s="41"/>
      <c r="R886" s="41"/>
    </row>
    <row r="887">
      <c r="F887" s="40"/>
      <c r="H887" s="40"/>
      <c r="I887" s="57"/>
      <c r="J887" s="43"/>
      <c r="K887" s="40"/>
      <c r="L887" s="40"/>
      <c r="M887" s="41"/>
      <c r="N887" s="41"/>
      <c r="O887" s="41" t="s">
        <v>78</v>
      </c>
      <c r="P887" s="41" t="s">
        <v>78</v>
      </c>
      <c r="Q887" s="41"/>
      <c r="R887" s="41"/>
    </row>
    <row r="888">
      <c r="F888" s="40"/>
      <c r="H888" s="40"/>
      <c r="I888" s="57"/>
      <c r="J888" s="43"/>
      <c r="K888" s="40"/>
      <c r="L888" s="40"/>
      <c r="M888" s="41"/>
      <c r="N888" s="41"/>
      <c r="O888" s="41" t="s">
        <v>78</v>
      </c>
      <c r="P888" s="41" t="s">
        <v>78</v>
      </c>
      <c r="Q888" s="41"/>
      <c r="R888" s="41"/>
    </row>
    <row r="889">
      <c r="F889" s="40"/>
      <c r="H889" s="40"/>
      <c r="I889" s="57"/>
      <c r="J889" s="43"/>
      <c r="K889" s="40"/>
      <c r="L889" s="40"/>
      <c r="M889" s="41"/>
      <c r="N889" s="41"/>
      <c r="O889" s="41" t="s">
        <v>78</v>
      </c>
      <c r="P889" s="41" t="s">
        <v>78</v>
      </c>
      <c r="Q889" s="41"/>
      <c r="R889" s="41"/>
    </row>
    <row r="890">
      <c r="F890" s="40"/>
      <c r="H890" s="40"/>
      <c r="I890" s="57"/>
      <c r="J890" s="43"/>
      <c r="K890" s="40"/>
      <c r="L890" s="40"/>
      <c r="M890" s="41"/>
      <c r="N890" s="41"/>
      <c r="O890" s="41" t="s">
        <v>78</v>
      </c>
      <c r="P890" s="41" t="s">
        <v>78</v>
      </c>
      <c r="Q890" s="41"/>
      <c r="R890" s="41"/>
    </row>
    <row r="891">
      <c r="F891" s="40"/>
      <c r="H891" s="40"/>
      <c r="I891" s="57"/>
      <c r="J891" s="43"/>
      <c r="K891" s="40"/>
      <c r="L891" s="40"/>
      <c r="M891" s="41"/>
      <c r="N891" s="41"/>
      <c r="O891" s="41" t="s">
        <v>78</v>
      </c>
      <c r="P891" s="41" t="s">
        <v>78</v>
      </c>
      <c r="Q891" s="41"/>
      <c r="R891" s="41"/>
    </row>
    <row r="892">
      <c r="F892" s="40"/>
      <c r="H892" s="40"/>
      <c r="I892" s="57"/>
      <c r="J892" s="43"/>
      <c r="K892" s="40"/>
      <c r="L892" s="40"/>
      <c r="M892" s="41"/>
      <c r="N892" s="41"/>
      <c r="O892" s="41" t="s">
        <v>78</v>
      </c>
      <c r="P892" s="41" t="s">
        <v>78</v>
      </c>
      <c r="Q892" s="41"/>
      <c r="R892" s="41"/>
    </row>
    <row r="893">
      <c r="F893" s="40"/>
      <c r="H893" s="40"/>
      <c r="I893" s="57"/>
      <c r="J893" s="43"/>
      <c r="K893" s="40"/>
      <c r="L893" s="40"/>
      <c r="M893" s="41"/>
      <c r="N893" s="41"/>
      <c r="O893" s="41" t="s">
        <v>78</v>
      </c>
      <c r="P893" s="41" t="s">
        <v>78</v>
      </c>
      <c r="Q893" s="41"/>
      <c r="R893" s="41"/>
    </row>
    <row r="894">
      <c r="F894" s="40"/>
      <c r="H894" s="40"/>
      <c r="I894" s="57"/>
      <c r="J894" s="43"/>
      <c r="K894" s="40"/>
      <c r="L894" s="40"/>
      <c r="M894" s="41"/>
      <c r="N894" s="41"/>
      <c r="O894" s="41" t="s">
        <v>78</v>
      </c>
      <c r="P894" s="41" t="s">
        <v>78</v>
      </c>
      <c r="Q894" s="41"/>
      <c r="R894" s="41"/>
    </row>
    <row r="895">
      <c r="F895" s="40"/>
      <c r="H895" s="40"/>
      <c r="I895" s="57"/>
      <c r="J895" s="43"/>
      <c r="K895" s="40"/>
      <c r="L895" s="40"/>
      <c r="M895" s="41"/>
      <c r="N895" s="41"/>
      <c r="O895" s="41" t="s">
        <v>78</v>
      </c>
      <c r="P895" s="41" t="s">
        <v>78</v>
      </c>
      <c r="Q895" s="41"/>
      <c r="R895" s="41"/>
    </row>
    <row r="896">
      <c r="F896" s="40"/>
      <c r="H896" s="40"/>
      <c r="I896" s="57"/>
      <c r="J896" s="43"/>
      <c r="K896" s="40"/>
      <c r="L896" s="40"/>
      <c r="M896" s="41"/>
      <c r="N896" s="41"/>
      <c r="O896" s="41" t="s">
        <v>78</v>
      </c>
      <c r="P896" s="41" t="s">
        <v>78</v>
      </c>
      <c r="Q896" s="41"/>
      <c r="R896" s="41"/>
    </row>
    <row r="897">
      <c r="F897" s="40"/>
      <c r="H897" s="40"/>
      <c r="I897" s="57"/>
      <c r="J897" s="43"/>
      <c r="K897" s="40"/>
      <c r="L897" s="40"/>
      <c r="M897" s="41"/>
      <c r="N897" s="41"/>
      <c r="O897" s="41" t="s">
        <v>78</v>
      </c>
      <c r="P897" s="41" t="s">
        <v>78</v>
      </c>
      <c r="Q897" s="41"/>
      <c r="R897" s="41"/>
    </row>
    <row r="898">
      <c r="F898" s="40"/>
      <c r="H898" s="40"/>
      <c r="I898" s="57"/>
      <c r="J898" s="43"/>
      <c r="K898" s="40"/>
      <c r="L898" s="40"/>
      <c r="M898" s="41"/>
      <c r="N898" s="41"/>
      <c r="O898" s="41" t="s">
        <v>78</v>
      </c>
      <c r="P898" s="41" t="s">
        <v>78</v>
      </c>
      <c r="Q898" s="41"/>
      <c r="R898" s="41"/>
    </row>
    <row r="899">
      <c r="F899" s="40"/>
      <c r="H899" s="40"/>
      <c r="I899" s="57"/>
      <c r="J899" s="43"/>
      <c r="K899" s="40"/>
      <c r="L899" s="40"/>
      <c r="M899" s="41"/>
      <c r="N899" s="41"/>
      <c r="O899" s="41" t="s">
        <v>78</v>
      </c>
      <c r="P899" s="41" t="s">
        <v>78</v>
      </c>
      <c r="Q899" s="41"/>
      <c r="R899" s="41"/>
    </row>
    <row r="900">
      <c r="F900" s="40"/>
      <c r="H900" s="40"/>
      <c r="I900" s="57"/>
      <c r="J900" s="43"/>
      <c r="K900" s="40"/>
      <c r="L900" s="40"/>
      <c r="M900" s="41"/>
      <c r="N900" s="41"/>
      <c r="O900" s="41" t="s">
        <v>78</v>
      </c>
      <c r="P900" s="41" t="s">
        <v>78</v>
      </c>
      <c r="Q900" s="41"/>
      <c r="R900" s="41"/>
    </row>
    <row r="901">
      <c r="F901" s="40"/>
      <c r="H901" s="40"/>
      <c r="I901" s="57"/>
      <c r="J901" s="43"/>
      <c r="K901" s="40"/>
      <c r="L901" s="40"/>
      <c r="M901" s="41"/>
      <c r="N901" s="41"/>
      <c r="O901" s="41" t="s">
        <v>78</v>
      </c>
      <c r="P901" s="41" t="s">
        <v>78</v>
      </c>
      <c r="Q901" s="41"/>
      <c r="R901" s="41"/>
    </row>
    <row r="902">
      <c r="F902" s="40"/>
      <c r="H902" s="40"/>
      <c r="I902" s="57"/>
      <c r="J902" s="43"/>
      <c r="K902" s="40"/>
      <c r="L902" s="40"/>
      <c r="M902" s="41"/>
      <c r="N902" s="41"/>
      <c r="O902" s="41" t="s">
        <v>78</v>
      </c>
      <c r="P902" s="41" t="s">
        <v>78</v>
      </c>
      <c r="Q902" s="41"/>
      <c r="R902" s="41"/>
    </row>
    <row r="903">
      <c r="F903" s="40"/>
      <c r="H903" s="40"/>
      <c r="I903" s="57"/>
      <c r="J903" s="43"/>
      <c r="K903" s="40"/>
      <c r="L903" s="40"/>
      <c r="M903" s="41"/>
      <c r="N903" s="41"/>
      <c r="O903" s="41" t="s">
        <v>78</v>
      </c>
      <c r="P903" s="41" t="s">
        <v>78</v>
      </c>
      <c r="Q903" s="41"/>
      <c r="R903" s="41"/>
    </row>
    <row r="904">
      <c r="F904" s="40"/>
      <c r="H904" s="40"/>
      <c r="I904" s="57"/>
      <c r="J904" s="43"/>
      <c r="K904" s="40"/>
      <c r="L904" s="40"/>
      <c r="M904" s="41"/>
      <c r="N904" s="41"/>
      <c r="O904" s="41" t="s">
        <v>78</v>
      </c>
      <c r="P904" s="41" t="s">
        <v>78</v>
      </c>
      <c r="Q904" s="41"/>
      <c r="R904" s="41"/>
    </row>
    <row r="905">
      <c r="F905" s="40"/>
      <c r="H905" s="40"/>
      <c r="I905" s="57"/>
      <c r="J905" s="43"/>
      <c r="K905" s="40"/>
      <c r="L905" s="40"/>
      <c r="M905" s="41"/>
      <c r="N905" s="41"/>
      <c r="O905" s="41" t="s">
        <v>78</v>
      </c>
      <c r="P905" s="41" t="s">
        <v>78</v>
      </c>
      <c r="Q905" s="41"/>
      <c r="R905" s="41"/>
    </row>
    <row r="906">
      <c r="F906" s="40"/>
      <c r="H906" s="40"/>
      <c r="I906" s="57"/>
      <c r="J906" s="43"/>
      <c r="K906" s="40"/>
      <c r="L906" s="40"/>
      <c r="M906" s="41"/>
      <c r="N906" s="41"/>
      <c r="O906" s="41" t="s">
        <v>78</v>
      </c>
      <c r="P906" s="41" t="s">
        <v>78</v>
      </c>
      <c r="Q906" s="41"/>
      <c r="R906" s="41"/>
    </row>
    <row r="907">
      <c r="F907" s="40"/>
      <c r="H907" s="40"/>
      <c r="I907" s="57"/>
      <c r="J907" s="43"/>
      <c r="K907" s="40"/>
      <c r="L907" s="40"/>
      <c r="M907" s="41"/>
      <c r="N907" s="41"/>
      <c r="O907" s="41" t="s">
        <v>78</v>
      </c>
      <c r="P907" s="41" t="s">
        <v>78</v>
      </c>
      <c r="Q907" s="41"/>
      <c r="R907" s="41"/>
    </row>
    <row r="908">
      <c r="F908" s="40"/>
      <c r="H908" s="40"/>
      <c r="I908" s="57"/>
      <c r="J908" s="43"/>
      <c r="K908" s="40"/>
      <c r="L908" s="40"/>
      <c r="M908" s="41"/>
      <c r="N908" s="41"/>
      <c r="O908" s="41" t="s">
        <v>78</v>
      </c>
      <c r="P908" s="41" t="s">
        <v>78</v>
      </c>
      <c r="Q908" s="41"/>
      <c r="R908" s="41"/>
    </row>
    <row r="909">
      <c r="F909" s="40"/>
      <c r="H909" s="40"/>
      <c r="I909" s="57"/>
      <c r="J909" s="43"/>
      <c r="K909" s="40"/>
      <c r="L909" s="40"/>
      <c r="M909" s="41"/>
      <c r="N909" s="41"/>
      <c r="O909" s="41" t="s">
        <v>78</v>
      </c>
      <c r="P909" s="41" t="s">
        <v>78</v>
      </c>
      <c r="Q909" s="41"/>
      <c r="R909" s="41"/>
    </row>
    <row r="910">
      <c r="F910" s="40"/>
      <c r="H910" s="40"/>
      <c r="I910" s="57"/>
      <c r="J910" s="43"/>
      <c r="K910" s="40"/>
      <c r="L910" s="40"/>
      <c r="M910" s="41"/>
      <c r="N910" s="41"/>
      <c r="O910" s="41" t="s">
        <v>78</v>
      </c>
      <c r="P910" s="41" t="s">
        <v>78</v>
      </c>
      <c r="Q910" s="41"/>
      <c r="R910" s="41"/>
    </row>
    <row r="911">
      <c r="F911" s="40"/>
      <c r="H911" s="40"/>
      <c r="I911" s="57"/>
      <c r="J911" s="43"/>
      <c r="K911" s="40"/>
      <c r="L911" s="40"/>
      <c r="M911" s="41"/>
      <c r="N911" s="41"/>
      <c r="O911" s="41" t="s">
        <v>78</v>
      </c>
      <c r="P911" s="41" t="s">
        <v>78</v>
      </c>
      <c r="Q911" s="41"/>
      <c r="R911" s="41"/>
    </row>
    <row r="912">
      <c r="F912" s="40"/>
      <c r="H912" s="40"/>
      <c r="I912" s="57"/>
      <c r="J912" s="43"/>
      <c r="K912" s="40"/>
      <c r="L912" s="40"/>
      <c r="M912" s="41"/>
      <c r="N912" s="41"/>
      <c r="O912" s="41" t="s">
        <v>78</v>
      </c>
      <c r="P912" s="41" t="s">
        <v>78</v>
      </c>
      <c r="Q912" s="41"/>
      <c r="R912" s="41"/>
    </row>
    <row r="913">
      <c r="F913" s="40"/>
      <c r="H913" s="40"/>
      <c r="I913" s="57"/>
      <c r="J913" s="43"/>
      <c r="K913" s="40"/>
      <c r="L913" s="40"/>
      <c r="M913" s="41"/>
      <c r="N913" s="41"/>
      <c r="O913" s="41" t="s">
        <v>78</v>
      </c>
      <c r="P913" s="41" t="s">
        <v>78</v>
      </c>
      <c r="Q913" s="41"/>
      <c r="R913" s="41"/>
    </row>
    <row r="914">
      <c r="F914" s="40"/>
      <c r="H914" s="40"/>
      <c r="I914" s="57"/>
      <c r="J914" s="43"/>
      <c r="K914" s="40"/>
      <c r="L914" s="40"/>
      <c r="M914" s="41"/>
      <c r="N914" s="41"/>
      <c r="O914" s="41" t="s">
        <v>78</v>
      </c>
      <c r="P914" s="41" t="s">
        <v>78</v>
      </c>
      <c r="Q914" s="41"/>
      <c r="R914" s="41"/>
    </row>
    <row r="915">
      <c r="F915" s="40"/>
      <c r="H915" s="40"/>
      <c r="I915" s="57"/>
      <c r="J915" s="43"/>
      <c r="K915" s="40"/>
      <c r="L915" s="40"/>
      <c r="M915" s="41"/>
      <c r="N915" s="41"/>
      <c r="O915" s="41" t="s">
        <v>78</v>
      </c>
      <c r="P915" s="41" t="s">
        <v>78</v>
      </c>
      <c r="Q915" s="41"/>
      <c r="R915" s="41"/>
    </row>
    <row r="916">
      <c r="F916" s="40"/>
      <c r="H916" s="40"/>
      <c r="I916" s="57"/>
      <c r="J916" s="43"/>
      <c r="K916" s="40"/>
      <c r="L916" s="40"/>
      <c r="M916" s="41"/>
      <c r="N916" s="41"/>
      <c r="O916" s="41" t="s">
        <v>78</v>
      </c>
      <c r="P916" s="41" t="s">
        <v>78</v>
      </c>
      <c r="Q916" s="41"/>
      <c r="R916" s="41"/>
    </row>
    <row r="917">
      <c r="F917" s="40"/>
      <c r="H917" s="40"/>
      <c r="I917" s="57"/>
      <c r="J917" s="43"/>
      <c r="K917" s="40"/>
      <c r="L917" s="40"/>
      <c r="M917" s="41"/>
      <c r="N917" s="41"/>
      <c r="O917" s="41" t="s">
        <v>78</v>
      </c>
      <c r="P917" s="41" t="s">
        <v>78</v>
      </c>
      <c r="Q917" s="41"/>
      <c r="R917" s="41"/>
    </row>
    <row r="918">
      <c r="F918" s="40"/>
      <c r="H918" s="40"/>
      <c r="I918" s="57"/>
      <c r="J918" s="43"/>
      <c r="K918" s="40"/>
      <c r="L918" s="40"/>
      <c r="M918" s="41"/>
      <c r="N918" s="41"/>
      <c r="O918" s="41" t="s">
        <v>78</v>
      </c>
      <c r="P918" s="41" t="s">
        <v>78</v>
      </c>
      <c r="Q918" s="41"/>
      <c r="R918" s="41"/>
    </row>
    <row r="919">
      <c r="F919" s="40"/>
      <c r="H919" s="40"/>
      <c r="I919" s="57"/>
      <c r="J919" s="43"/>
      <c r="K919" s="40"/>
      <c r="L919" s="40"/>
      <c r="M919" s="41"/>
      <c r="N919" s="41"/>
      <c r="O919" s="41" t="s">
        <v>78</v>
      </c>
      <c r="P919" s="41" t="s">
        <v>78</v>
      </c>
      <c r="Q919" s="41"/>
      <c r="R919" s="41"/>
    </row>
    <row r="920">
      <c r="F920" s="40"/>
      <c r="H920" s="40"/>
      <c r="I920" s="57"/>
      <c r="J920" s="43"/>
      <c r="K920" s="40"/>
      <c r="L920" s="40"/>
      <c r="M920" s="41"/>
      <c r="N920" s="41"/>
      <c r="O920" s="41" t="s">
        <v>78</v>
      </c>
      <c r="P920" s="41" t="s">
        <v>78</v>
      </c>
      <c r="Q920" s="41"/>
      <c r="R920" s="41"/>
    </row>
    <row r="921">
      <c r="F921" s="40"/>
      <c r="H921" s="40"/>
      <c r="I921" s="57"/>
      <c r="J921" s="43"/>
      <c r="K921" s="40"/>
      <c r="L921" s="40"/>
      <c r="M921" s="41"/>
      <c r="N921" s="41"/>
      <c r="O921" s="41" t="s">
        <v>78</v>
      </c>
      <c r="P921" s="41" t="s">
        <v>78</v>
      </c>
      <c r="Q921" s="41"/>
      <c r="R921" s="41"/>
    </row>
    <row r="922">
      <c r="F922" s="40"/>
      <c r="H922" s="40"/>
      <c r="I922" s="57"/>
      <c r="J922" s="43"/>
      <c r="K922" s="40"/>
      <c r="L922" s="40"/>
      <c r="M922" s="41"/>
      <c r="N922" s="41"/>
      <c r="O922" s="41" t="s">
        <v>78</v>
      </c>
      <c r="P922" s="41" t="s">
        <v>78</v>
      </c>
      <c r="Q922" s="41"/>
      <c r="R922" s="41"/>
    </row>
    <row r="923">
      <c r="F923" s="40"/>
      <c r="H923" s="40"/>
      <c r="I923" s="57"/>
      <c r="J923" s="43"/>
      <c r="K923" s="40"/>
      <c r="L923" s="40"/>
      <c r="M923" s="41"/>
      <c r="N923" s="41"/>
      <c r="O923" s="41" t="s">
        <v>78</v>
      </c>
      <c r="P923" s="41" t="s">
        <v>78</v>
      </c>
      <c r="Q923" s="41"/>
      <c r="R923" s="41"/>
    </row>
    <row r="924">
      <c r="F924" s="40"/>
      <c r="H924" s="40"/>
      <c r="I924" s="57"/>
      <c r="J924" s="43"/>
      <c r="K924" s="40"/>
      <c r="L924" s="40"/>
      <c r="M924" s="41"/>
      <c r="N924" s="41"/>
      <c r="O924" s="41" t="s">
        <v>78</v>
      </c>
      <c r="P924" s="41" t="s">
        <v>78</v>
      </c>
      <c r="Q924" s="41"/>
      <c r="R924" s="41"/>
    </row>
    <row r="925">
      <c r="F925" s="40"/>
      <c r="H925" s="40"/>
      <c r="I925" s="57"/>
      <c r="J925" s="43"/>
      <c r="K925" s="40"/>
      <c r="L925" s="40"/>
      <c r="M925" s="41"/>
      <c r="N925" s="41"/>
      <c r="O925" s="41" t="s">
        <v>78</v>
      </c>
      <c r="P925" s="41" t="s">
        <v>78</v>
      </c>
      <c r="Q925" s="41"/>
      <c r="R925" s="41"/>
    </row>
    <row r="926">
      <c r="F926" s="40"/>
      <c r="H926" s="40"/>
      <c r="I926" s="57"/>
      <c r="J926" s="43"/>
      <c r="K926" s="40"/>
      <c r="L926" s="40"/>
      <c r="M926" s="41"/>
      <c r="N926" s="41"/>
      <c r="O926" s="41" t="s">
        <v>78</v>
      </c>
      <c r="P926" s="41" t="s">
        <v>78</v>
      </c>
      <c r="Q926" s="41"/>
      <c r="R926" s="41"/>
    </row>
    <row r="927">
      <c r="F927" s="40"/>
      <c r="H927" s="40"/>
      <c r="I927" s="57"/>
      <c r="J927" s="43"/>
      <c r="K927" s="40"/>
      <c r="L927" s="40"/>
      <c r="M927" s="41"/>
      <c r="N927" s="41"/>
      <c r="O927" s="41" t="s">
        <v>78</v>
      </c>
      <c r="P927" s="41" t="s">
        <v>78</v>
      </c>
      <c r="Q927" s="41"/>
      <c r="R927" s="41"/>
    </row>
    <row r="928">
      <c r="F928" s="40"/>
      <c r="H928" s="40"/>
      <c r="I928" s="57"/>
      <c r="J928" s="43"/>
      <c r="K928" s="40"/>
      <c r="L928" s="40"/>
      <c r="M928" s="41"/>
      <c r="N928" s="41"/>
      <c r="O928" s="41" t="s">
        <v>78</v>
      </c>
      <c r="P928" s="41" t="s">
        <v>78</v>
      </c>
      <c r="Q928" s="41"/>
      <c r="R928" s="41"/>
    </row>
    <row r="929">
      <c r="F929" s="40"/>
      <c r="H929" s="40"/>
      <c r="I929" s="57"/>
      <c r="J929" s="43"/>
      <c r="K929" s="40"/>
      <c r="L929" s="40"/>
      <c r="M929" s="41"/>
      <c r="N929" s="41"/>
      <c r="O929" s="41" t="s">
        <v>78</v>
      </c>
      <c r="P929" s="41" t="s">
        <v>78</v>
      </c>
      <c r="Q929" s="41"/>
      <c r="R929" s="41"/>
    </row>
    <row r="930">
      <c r="F930" s="40"/>
      <c r="H930" s="40"/>
      <c r="I930" s="57"/>
      <c r="J930" s="43"/>
      <c r="K930" s="40"/>
      <c r="L930" s="40"/>
      <c r="M930" s="41"/>
      <c r="N930" s="41"/>
      <c r="O930" s="41" t="s">
        <v>78</v>
      </c>
      <c r="P930" s="41" t="s">
        <v>78</v>
      </c>
      <c r="Q930" s="41"/>
      <c r="R930" s="41"/>
    </row>
    <row r="931">
      <c r="F931" s="40"/>
      <c r="H931" s="40"/>
      <c r="I931" s="57"/>
      <c r="J931" s="43"/>
      <c r="K931" s="40"/>
      <c r="L931" s="40"/>
      <c r="M931" s="41"/>
      <c r="N931" s="41"/>
      <c r="O931" s="41" t="s">
        <v>78</v>
      </c>
      <c r="P931" s="41" t="s">
        <v>78</v>
      </c>
      <c r="Q931" s="41"/>
      <c r="R931" s="41"/>
    </row>
    <row r="932">
      <c r="F932" s="40"/>
      <c r="H932" s="40"/>
      <c r="I932" s="57"/>
      <c r="J932" s="43"/>
      <c r="K932" s="40"/>
      <c r="L932" s="40"/>
      <c r="M932" s="41"/>
      <c r="N932" s="41"/>
      <c r="O932" s="41" t="s">
        <v>78</v>
      </c>
      <c r="P932" s="41" t="s">
        <v>78</v>
      </c>
      <c r="Q932" s="41"/>
      <c r="R932" s="41"/>
    </row>
    <row r="933">
      <c r="F933" s="40"/>
      <c r="H933" s="40"/>
      <c r="I933" s="57"/>
      <c r="J933" s="43"/>
      <c r="K933" s="40"/>
      <c r="L933" s="40"/>
      <c r="M933" s="41"/>
      <c r="N933" s="41"/>
      <c r="O933" s="41" t="s">
        <v>78</v>
      </c>
      <c r="P933" s="41" t="s">
        <v>78</v>
      </c>
      <c r="Q933" s="41"/>
      <c r="R933" s="41"/>
    </row>
    <row r="934">
      <c r="F934" s="40"/>
      <c r="H934" s="40"/>
      <c r="I934" s="57"/>
      <c r="J934" s="43"/>
      <c r="K934" s="40"/>
      <c r="L934" s="40"/>
      <c r="M934" s="41"/>
      <c r="N934" s="41"/>
      <c r="O934" s="41" t="s">
        <v>78</v>
      </c>
      <c r="P934" s="41" t="s">
        <v>78</v>
      </c>
      <c r="Q934" s="41"/>
      <c r="R934" s="41"/>
    </row>
    <row r="935">
      <c r="F935" s="40"/>
      <c r="H935" s="40"/>
      <c r="I935" s="57"/>
      <c r="J935" s="43"/>
      <c r="K935" s="40"/>
      <c r="L935" s="40"/>
      <c r="M935" s="41"/>
      <c r="N935" s="41"/>
      <c r="O935" s="41" t="s">
        <v>78</v>
      </c>
      <c r="P935" s="41" t="s">
        <v>78</v>
      </c>
      <c r="Q935" s="41"/>
      <c r="R935" s="41"/>
    </row>
    <row r="936">
      <c r="F936" s="40"/>
      <c r="H936" s="40"/>
      <c r="I936" s="57"/>
      <c r="J936" s="43"/>
      <c r="K936" s="40"/>
      <c r="L936" s="40"/>
      <c r="M936" s="41"/>
      <c r="N936" s="41"/>
      <c r="O936" s="41" t="s">
        <v>78</v>
      </c>
      <c r="P936" s="41" t="s">
        <v>78</v>
      </c>
      <c r="Q936" s="41"/>
      <c r="R936" s="41"/>
    </row>
    <row r="937">
      <c r="F937" s="40"/>
      <c r="H937" s="40"/>
      <c r="I937" s="57"/>
      <c r="J937" s="43"/>
      <c r="K937" s="40"/>
      <c r="L937" s="40"/>
      <c r="M937" s="41"/>
      <c r="N937" s="41"/>
      <c r="O937" s="41" t="s">
        <v>78</v>
      </c>
      <c r="P937" s="41" t="s">
        <v>78</v>
      </c>
      <c r="Q937" s="41"/>
      <c r="R937" s="41"/>
    </row>
    <row r="938">
      <c r="F938" s="40"/>
      <c r="H938" s="40"/>
      <c r="I938" s="57"/>
      <c r="J938" s="43"/>
      <c r="K938" s="40"/>
      <c r="L938" s="40"/>
      <c r="M938" s="41"/>
      <c r="N938" s="41"/>
      <c r="O938" s="41" t="s">
        <v>78</v>
      </c>
      <c r="P938" s="41" t="s">
        <v>78</v>
      </c>
      <c r="Q938" s="41"/>
      <c r="R938" s="41"/>
    </row>
    <row r="939">
      <c r="F939" s="40"/>
      <c r="H939" s="40"/>
      <c r="I939" s="57"/>
      <c r="J939" s="43"/>
      <c r="K939" s="40"/>
      <c r="L939" s="40"/>
      <c r="M939" s="41"/>
      <c r="N939" s="41"/>
      <c r="O939" s="41" t="s">
        <v>78</v>
      </c>
      <c r="P939" s="41" t="s">
        <v>78</v>
      </c>
      <c r="Q939" s="41"/>
      <c r="R939" s="41"/>
    </row>
    <row r="940">
      <c r="F940" s="40"/>
      <c r="H940" s="40"/>
      <c r="I940" s="57"/>
      <c r="J940" s="43"/>
      <c r="K940" s="40"/>
      <c r="L940" s="40"/>
      <c r="M940" s="41"/>
      <c r="N940" s="41"/>
      <c r="O940" s="41" t="s">
        <v>78</v>
      </c>
      <c r="P940" s="41" t="s">
        <v>78</v>
      </c>
      <c r="Q940" s="41"/>
      <c r="R940" s="41"/>
    </row>
    <row r="941">
      <c r="F941" s="40"/>
      <c r="H941" s="40"/>
      <c r="I941" s="57"/>
      <c r="J941" s="43"/>
      <c r="K941" s="40"/>
      <c r="L941" s="40"/>
      <c r="M941" s="41"/>
      <c r="N941" s="41"/>
      <c r="O941" s="41" t="s">
        <v>78</v>
      </c>
      <c r="P941" s="41" t="s">
        <v>78</v>
      </c>
      <c r="Q941" s="41"/>
      <c r="R941" s="41"/>
    </row>
    <row r="942">
      <c r="F942" s="40"/>
      <c r="H942" s="40"/>
      <c r="I942" s="57"/>
      <c r="J942" s="43"/>
      <c r="K942" s="40"/>
      <c r="L942" s="40"/>
      <c r="M942" s="41"/>
      <c r="N942" s="41"/>
      <c r="O942" s="41" t="s">
        <v>78</v>
      </c>
      <c r="P942" s="41" t="s">
        <v>78</v>
      </c>
      <c r="Q942" s="41"/>
      <c r="R942" s="41"/>
    </row>
    <row r="943">
      <c r="F943" s="40"/>
      <c r="H943" s="40"/>
      <c r="I943" s="57"/>
      <c r="J943" s="43"/>
      <c r="K943" s="40"/>
      <c r="L943" s="40"/>
      <c r="M943" s="41"/>
      <c r="N943" s="41"/>
      <c r="O943" s="41" t="s">
        <v>78</v>
      </c>
      <c r="P943" s="41" t="s">
        <v>78</v>
      </c>
      <c r="Q943" s="41"/>
      <c r="R943" s="41"/>
    </row>
    <row r="944">
      <c r="F944" s="40"/>
      <c r="H944" s="40"/>
      <c r="I944" s="57"/>
      <c r="J944" s="43"/>
      <c r="K944" s="40"/>
      <c r="L944" s="40"/>
      <c r="M944" s="41"/>
      <c r="N944" s="41"/>
      <c r="O944" s="41" t="s">
        <v>78</v>
      </c>
      <c r="P944" s="41" t="s">
        <v>78</v>
      </c>
      <c r="Q944" s="41"/>
      <c r="R944" s="41"/>
    </row>
    <row r="945">
      <c r="F945" s="40"/>
      <c r="H945" s="40"/>
      <c r="I945" s="57"/>
      <c r="J945" s="43"/>
      <c r="K945" s="40"/>
      <c r="L945" s="40"/>
      <c r="M945" s="41"/>
      <c r="N945" s="41"/>
      <c r="O945" s="41" t="s">
        <v>78</v>
      </c>
      <c r="P945" s="41" t="s">
        <v>78</v>
      </c>
      <c r="Q945" s="41"/>
      <c r="R945" s="41"/>
    </row>
    <row r="946">
      <c r="F946" s="40"/>
      <c r="H946" s="40"/>
      <c r="I946" s="57"/>
      <c r="J946" s="43"/>
      <c r="K946" s="40"/>
      <c r="L946" s="40"/>
      <c r="M946" s="41"/>
      <c r="N946" s="41"/>
      <c r="O946" s="41" t="s">
        <v>78</v>
      </c>
      <c r="P946" s="41" t="s">
        <v>78</v>
      </c>
      <c r="Q946" s="41"/>
      <c r="R946" s="41"/>
    </row>
    <row r="947">
      <c r="F947" s="40"/>
      <c r="H947" s="40"/>
      <c r="I947" s="57"/>
      <c r="J947" s="43"/>
      <c r="K947" s="40"/>
      <c r="L947" s="40"/>
      <c r="M947" s="41"/>
      <c r="N947" s="41"/>
      <c r="O947" s="41" t="s">
        <v>78</v>
      </c>
      <c r="P947" s="41" t="s">
        <v>78</v>
      </c>
      <c r="Q947" s="41"/>
      <c r="R947" s="41"/>
    </row>
    <row r="948">
      <c r="F948" s="40"/>
      <c r="H948" s="40"/>
      <c r="I948" s="57"/>
      <c r="J948" s="43"/>
      <c r="K948" s="40"/>
      <c r="L948" s="40"/>
      <c r="M948" s="41"/>
      <c r="N948" s="41"/>
      <c r="O948" s="41" t="s">
        <v>78</v>
      </c>
      <c r="P948" s="41" t="s">
        <v>78</v>
      </c>
      <c r="Q948" s="41"/>
      <c r="R948" s="41"/>
    </row>
    <row r="949">
      <c r="F949" s="40"/>
      <c r="H949" s="40"/>
      <c r="I949" s="57"/>
      <c r="J949" s="43"/>
      <c r="K949" s="40"/>
      <c r="L949" s="40"/>
      <c r="M949" s="41"/>
      <c r="N949" s="41"/>
      <c r="O949" s="41" t="s">
        <v>78</v>
      </c>
      <c r="P949" s="41" t="s">
        <v>78</v>
      </c>
      <c r="Q949" s="41"/>
      <c r="R949" s="41"/>
    </row>
    <row r="950">
      <c r="F950" s="40"/>
      <c r="H950" s="40"/>
      <c r="I950" s="57"/>
      <c r="J950" s="43"/>
      <c r="K950" s="40"/>
      <c r="L950" s="40"/>
      <c r="M950" s="41"/>
      <c r="N950" s="41"/>
      <c r="O950" s="41" t="s">
        <v>78</v>
      </c>
      <c r="P950" s="41" t="s">
        <v>78</v>
      </c>
      <c r="Q950" s="41"/>
      <c r="R950" s="41"/>
    </row>
    <row r="951">
      <c r="F951" s="40"/>
      <c r="H951" s="40"/>
      <c r="I951" s="57"/>
      <c r="J951" s="43"/>
      <c r="K951" s="40"/>
      <c r="L951" s="40"/>
      <c r="M951" s="41"/>
      <c r="N951" s="41"/>
      <c r="O951" s="41" t="s">
        <v>78</v>
      </c>
      <c r="P951" s="41" t="s">
        <v>78</v>
      </c>
      <c r="Q951" s="41"/>
      <c r="R951" s="41"/>
    </row>
    <row r="952">
      <c r="F952" s="40"/>
      <c r="H952" s="40"/>
      <c r="I952" s="57"/>
      <c r="J952" s="43"/>
      <c r="K952" s="40"/>
      <c r="L952" s="40"/>
      <c r="M952" s="41"/>
      <c r="N952" s="41"/>
      <c r="O952" s="41" t="s">
        <v>78</v>
      </c>
      <c r="P952" s="41" t="s">
        <v>78</v>
      </c>
      <c r="Q952" s="41"/>
      <c r="R952" s="41"/>
    </row>
    <row r="953">
      <c r="F953" s="40"/>
      <c r="H953" s="40"/>
      <c r="I953" s="57"/>
      <c r="J953" s="43"/>
      <c r="K953" s="40"/>
      <c r="L953" s="40"/>
      <c r="M953" s="41"/>
      <c r="N953" s="41"/>
      <c r="O953" s="41" t="s">
        <v>78</v>
      </c>
      <c r="P953" s="41" t="s">
        <v>78</v>
      </c>
      <c r="Q953" s="41"/>
      <c r="R953" s="41"/>
    </row>
    <row r="954">
      <c r="F954" s="40"/>
      <c r="H954" s="40"/>
      <c r="I954" s="57"/>
      <c r="J954" s="43"/>
      <c r="K954" s="40"/>
      <c r="L954" s="40"/>
      <c r="M954" s="41"/>
      <c r="N954" s="41"/>
      <c r="O954" s="41" t="s">
        <v>78</v>
      </c>
      <c r="P954" s="41" t="s">
        <v>78</v>
      </c>
      <c r="Q954" s="41"/>
      <c r="R954" s="41"/>
    </row>
    <row r="955">
      <c r="F955" s="40"/>
      <c r="H955" s="40"/>
      <c r="I955" s="57"/>
      <c r="J955" s="43"/>
      <c r="K955" s="40"/>
      <c r="L955" s="40"/>
      <c r="M955" s="41"/>
      <c r="N955" s="41"/>
      <c r="O955" s="41" t="s">
        <v>78</v>
      </c>
      <c r="P955" s="41" t="s">
        <v>78</v>
      </c>
      <c r="Q955" s="41"/>
      <c r="R955" s="41"/>
    </row>
    <row r="956">
      <c r="F956" s="40"/>
      <c r="H956" s="40"/>
      <c r="I956" s="57"/>
      <c r="J956" s="43"/>
      <c r="K956" s="40"/>
      <c r="L956" s="40"/>
      <c r="M956" s="41"/>
      <c r="N956" s="41"/>
      <c r="O956" s="41" t="s">
        <v>78</v>
      </c>
      <c r="P956" s="41" t="s">
        <v>78</v>
      </c>
      <c r="Q956" s="41"/>
      <c r="R956" s="41"/>
    </row>
    <row r="957">
      <c r="F957" s="40"/>
      <c r="H957" s="40"/>
      <c r="I957" s="57"/>
      <c r="J957" s="43"/>
      <c r="K957" s="40"/>
      <c r="L957" s="40"/>
      <c r="M957" s="41"/>
      <c r="N957" s="41"/>
      <c r="O957" s="41" t="s">
        <v>78</v>
      </c>
      <c r="P957" s="41" t="s">
        <v>78</v>
      </c>
      <c r="Q957" s="41"/>
      <c r="R957" s="41"/>
    </row>
    <row r="958">
      <c r="F958" s="40"/>
      <c r="H958" s="40"/>
      <c r="I958" s="57"/>
      <c r="J958" s="43"/>
      <c r="K958" s="40"/>
      <c r="L958" s="40"/>
      <c r="M958" s="41"/>
      <c r="N958" s="41"/>
      <c r="O958" s="41" t="s">
        <v>78</v>
      </c>
      <c r="P958" s="41" t="s">
        <v>78</v>
      </c>
      <c r="Q958" s="41"/>
      <c r="R958" s="41"/>
    </row>
    <row r="959">
      <c r="F959" s="40"/>
      <c r="H959" s="40"/>
      <c r="I959" s="57"/>
      <c r="J959" s="43"/>
      <c r="K959" s="40"/>
      <c r="L959" s="40"/>
      <c r="M959" s="41"/>
      <c r="N959" s="41"/>
      <c r="O959" s="41" t="s">
        <v>78</v>
      </c>
      <c r="P959" s="41" t="s">
        <v>78</v>
      </c>
      <c r="Q959" s="41"/>
      <c r="R959" s="41"/>
    </row>
    <row r="960">
      <c r="F960" s="40"/>
      <c r="H960" s="40"/>
      <c r="I960" s="57"/>
      <c r="J960" s="43"/>
      <c r="K960" s="40"/>
      <c r="L960" s="40"/>
      <c r="M960" s="41"/>
      <c r="N960" s="41"/>
      <c r="O960" s="41" t="s">
        <v>78</v>
      </c>
      <c r="P960" s="41" t="s">
        <v>78</v>
      </c>
      <c r="Q960" s="41"/>
      <c r="R960" s="41"/>
    </row>
    <row r="961">
      <c r="F961" s="40"/>
      <c r="H961" s="40"/>
      <c r="I961" s="57"/>
      <c r="J961" s="43"/>
      <c r="K961" s="40"/>
      <c r="L961" s="40"/>
      <c r="M961" s="41"/>
      <c r="N961" s="41"/>
      <c r="O961" s="41" t="s">
        <v>78</v>
      </c>
      <c r="P961" s="41" t="s">
        <v>78</v>
      </c>
      <c r="Q961" s="41"/>
      <c r="R961" s="41"/>
    </row>
    <row r="962">
      <c r="F962" s="40"/>
      <c r="H962" s="40"/>
      <c r="I962" s="57"/>
      <c r="J962" s="43"/>
      <c r="K962" s="40"/>
      <c r="L962" s="40"/>
      <c r="M962" s="41"/>
      <c r="N962" s="41"/>
      <c r="O962" s="41" t="s">
        <v>78</v>
      </c>
      <c r="P962" s="41" t="s">
        <v>78</v>
      </c>
      <c r="Q962" s="41"/>
      <c r="R962" s="41"/>
    </row>
    <row r="963">
      <c r="F963" s="40"/>
      <c r="H963" s="40"/>
      <c r="I963" s="57"/>
      <c r="J963" s="43"/>
      <c r="K963" s="40"/>
      <c r="L963" s="40"/>
      <c r="M963" s="41"/>
      <c r="N963" s="41"/>
      <c r="O963" s="41" t="s">
        <v>78</v>
      </c>
      <c r="P963" s="41" t="s">
        <v>78</v>
      </c>
      <c r="Q963" s="41"/>
      <c r="R963" s="41"/>
    </row>
    <row r="964">
      <c r="F964" s="40"/>
      <c r="H964" s="40"/>
      <c r="I964" s="57"/>
      <c r="J964" s="43"/>
      <c r="K964" s="40"/>
      <c r="L964" s="40"/>
      <c r="M964" s="41"/>
      <c r="N964" s="41"/>
      <c r="O964" s="41" t="s">
        <v>78</v>
      </c>
      <c r="P964" s="41" t="s">
        <v>78</v>
      </c>
      <c r="Q964" s="41"/>
      <c r="R964" s="41"/>
    </row>
    <row r="965">
      <c r="F965" s="40"/>
      <c r="H965" s="40"/>
      <c r="I965" s="57"/>
      <c r="J965" s="43"/>
      <c r="K965" s="40"/>
      <c r="L965" s="40"/>
      <c r="M965" s="41"/>
      <c r="N965" s="41"/>
      <c r="O965" s="41" t="s">
        <v>78</v>
      </c>
      <c r="P965" s="41" t="s">
        <v>78</v>
      </c>
      <c r="Q965" s="41"/>
      <c r="R965" s="41"/>
    </row>
    <row r="966">
      <c r="F966" s="40"/>
      <c r="H966" s="40"/>
      <c r="I966" s="57"/>
      <c r="J966" s="43"/>
      <c r="K966" s="40"/>
      <c r="L966" s="40"/>
      <c r="M966" s="41"/>
      <c r="N966" s="41"/>
      <c r="O966" s="41" t="s">
        <v>78</v>
      </c>
      <c r="P966" s="41" t="s">
        <v>78</v>
      </c>
      <c r="Q966" s="41"/>
      <c r="R966" s="41"/>
    </row>
    <row r="967">
      <c r="F967" s="40"/>
      <c r="H967" s="40"/>
      <c r="I967" s="57"/>
      <c r="J967" s="43"/>
      <c r="K967" s="40"/>
      <c r="L967" s="40"/>
      <c r="M967" s="41"/>
      <c r="N967" s="41"/>
      <c r="O967" s="41" t="s">
        <v>78</v>
      </c>
      <c r="P967" s="41" t="s">
        <v>78</v>
      </c>
      <c r="Q967" s="41"/>
      <c r="R967" s="41"/>
    </row>
    <row r="968">
      <c r="F968" s="40"/>
      <c r="H968" s="40"/>
      <c r="I968" s="57"/>
      <c r="J968" s="43"/>
      <c r="K968" s="40"/>
      <c r="L968" s="40"/>
      <c r="M968" s="41"/>
      <c r="N968" s="41"/>
      <c r="O968" s="41" t="s">
        <v>78</v>
      </c>
      <c r="P968" s="41" t="s">
        <v>78</v>
      </c>
      <c r="Q968" s="41"/>
      <c r="R968" s="41"/>
    </row>
    <row r="969">
      <c r="F969" s="40"/>
      <c r="H969" s="40"/>
      <c r="I969" s="57"/>
      <c r="J969" s="43"/>
      <c r="K969" s="40"/>
      <c r="L969" s="40"/>
      <c r="M969" s="41"/>
      <c r="N969" s="41"/>
      <c r="O969" s="41" t="s">
        <v>78</v>
      </c>
      <c r="P969" s="41" t="s">
        <v>78</v>
      </c>
      <c r="Q969" s="41"/>
      <c r="R969" s="41"/>
    </row>
    <row r="970">
      <c r="F970" s="40"/>
      <c r="H970" s="40"/>
      <c r="I970" s="57"/>
      <c r="J970" s="43"/>
      <c r="K970" s="40"/>
      <c r="L970" s="40"/>
      <c r="M970" s="41"/>
      <c r="N970" s="41"/>
      <c r="O970" s="41" t="s">
        <v>78</v>
      </c>
      <c r="P970" s="41" t="s">
        <v>78</v>
      </c>
      <c r="Q970" s="41"/>
      <c r="R970" s="41"/>
    </row>
    <row r="971">
      <c r="F971" s="40"/>
      <c r="H971" s="40"/>
      <c r="I971" s="57"/>
      <c r="J971" s="43"/>
      <c r="K971" s="40"/>
      <c r="L971" s="40"/>
      <c r="M971" s="41"/>
      <c r="N971" s="41"/>
      <c r="O971" s="41" t="s">
        <v>78</v>
      </c>
      <c r="P971" s="41" t="s">
        <v>78</v>
      </c>
      <c r="Q971" s="41"/>
      <c r="R971" s="41"/>
    </row>
    <row r="972">
      <c r="F972" s="40"/>
      <c r="H972" s="40"/>
      <c r="I972" s="57"/>
      <c r="J972" s="43"/>
      <c r="K972" s="40"/>
      <c r="L972" s="40"/>
      <c r="M972" s="41"/>
      <c r="N972" s="41"/>
      <c r="O972" s="41" t="s">
        <v>78</v>
      </c>
      <c r="P972" s="41" t="s">
        <v>78</v>
      </c>
      <c r="Q972" s="41"/>
      <c r="R972" s="41"/>
    </row>
    <row r="973">
      <c r="F973" s="40"/>
      <c r="H973" s="40"/>
      <c r="I973" s="57"/>
      <c r="J973" s="43"/>
      <c r="K973" s="40"/>
      <c r="L973" s="40"/>
      <c r="M973" s="41"/>
      <c r="N973" s="41"/>
      <c r="O973" s="41" t="s">
        <v>78</v>
      </c>
      <c r="P973" s="41" t="s">
        <v>78</v>
      </c>
      <c r="Q973" s="41"/>
      <c r="R973" s="41"/>
    </row>
    <row r="974">
      <c r="F974" s="40"/>
      <c r="H974" s="40"/>
      <c r="I974" s="57"/>
      <c r="J974" s="43"/>
      <c r="K974" s="40"/>
      <c r="L974" s="40"/>
      <c r="M974" s="41"/>
      <c r="N974" s="41"/>
      <c r="O974" s="41" t="s">
        <v>78</v>
      </c>
      <c r="P974" s="41" t="s">
        <v>78</v>
      </c>
      <c r="Q974" s="41"/>
      <c r="R974" s="41"/>
    </row>
    <row r="975">
      <c r="F975" s="40"/>
      <c r="H975" s="40"/>
      <c r="I975" s="57"/>
      <c r="J975" s="43"/>
      <c r="K975" s="40"/>
      <c r="L975" s="40"/>
      <c r="M975" s="41"/>
      <c r="N975" s="41"/>
      <c r="O975" s="41" t="s">
        <v>78</v>
      </c>
      <c r="P975" s="41" t="s">
        <v>78</v>
      </c>
      <c r="Q975" s="41"/>
      <c r="R975" s="41"/>
    </row>
    <row r="976">
      <c r="F976" s="40"/>
      <c r="H976" s="40"/>
      <c r="I976" s="57"/>
      <c r="J976" s="43"/>
      <c r="K976" s="40"/>
      <c r="L976" s="40"/>
      <c r="M976" s="41"/>
      <c r="N976" s="41"/>
      <c r="O976" s="41" t="s">
        <v>78</v>
      </c>
      <c r="P976" s="41" t="s">
        <v>78</v>
      </c>
      <c r="Q976" s="41"/>
      <c r="R976" s="41"/>
    </row>
    <row r="977">
      <c r="F977" s="40"/>
      <c r="H977" s="40"/>
      <c r="I977" s="57"/>
      <c r="J977" s="43"/>
      <c r="K977" s="40"/>
      <c r="L977" s="40"/>
      <c r="M977" s="41"/>
      <c r="N977" s="41"/>
      <c r="O977" s="41" t="s">
        <v>78</v>
      </c>
      <c r="P977" s="41" t="s">
        <v>78</v>
      </c>
      <c r="Q977" s="41"/>
      <c r="R977" s="41"/>
    </row>
    <row r="978">
      <c r="F978" s="40"/>
      <c r="H978" s="40"/>
      <c r="I978" s="57"/>
      <c r="J978" s="43"/>
      <c r="K978" s="40"/>
      <c r="L978" s="40"/>
      <c r="M978" s="41"/>
      <c r="N978" s="41"/>
      <c r="O978" s="41" t="s">
        <v>78</v>
      </c>
      <c r="P978" s="41" t="s">
        <v>78</v>
      </c>
      <c r="Q978" s="41"/>
      <c r="R978" s="41"/>
    </row>
    <row r="979">
      <c r="F979" s="40"/>
      <c r="H979" s="40"/>
      <c r="I979" s="57"/>
      <c r="J979" s="43"/>
      <c r="K979" s="40"/>
      <c r="L979" s="40"/>
      <c r="M979" s="41"/>
      <c r="N979" s="41"/>
      <c r="O979" s="41" t="s">
        <v>78</v>
      </c>
      <c r="P979" s="41" t="s">
        <v>78</v>
      </c>
      <c r="Q979" s="41"/>
      <c r="R979" s="41"/>
    </row>
    <row r="980">
      <c r="F980" s="40"/>
      <c r="H980" s="40"/>
      <c r="I980" s="57"/>
      <c r="J980" s="43"/>
      <c r="K980" s="40"/>
      <c r="L980" s="40"/>
      <c r="M980" s="41"/>
      <c r="N980" s="41"/>
      <c r="O980" s="41" t="s">
        <v>78</v>
      </c>
      <c r="P980" s="41" t="s">
        <v>78</v>
      </c>
      <c r="Q980" s="41"/>
      <c r="R980" s="41"/>
    </row>
    <row r="981">
      <c r="F981" s="40"/>
      <c r="H981" s="40"/>
      <c r="I981" s="57"/>
      <c r="J981" s="43"/>
      <c r="K981" s="40"/>
      <c r="L981" s="40"/>
      <c r="M981" s="41"/>
      <c r="N981" s="41"/>
      <c r="O981" s="41" t="s">
        <v>78</v>
      </c>
      <c r="P981" s="41" t="s">
        <v>78</v>
      </c>
      <c r="Q981" s="41"/>
      <c r="R981" s="41"/>
    </row>
    <row r="982">
      <c r="F982" s="40"/>
      <c r="H982" s="40"/>
      <c r="I982" s="57"/>
      <c r="J982" s="43"/>
      <c r="K982" s="40"/>
      <c r="L982" s="40"/>
      <c r="M982" s="41"/>
      <c r="N982" s="41"/>
      <c r="O982" s="41" t="s">
        <v>78</v>
      </c>
      <c r="P982" s="41" t="s">
        <v>78</v>
      </c>
      <c r="Q982" s="41"/>
      <c r="R982" s="41"/>
    </row>
    <row r="983">
      <c r="F983" s="40"/>
      <c r="H983" s="40"/>
      <c r="I983" s="57"/>
      <c r="J983" s="43"/>
      <c r="K983" s="40"/>
      <c r="L983" s="40"/>
      <c r="M983" s="41"/>
      <c r="N983" s="41"/>
      <c r="O983" s="41" t="s">
        <v>78</v>
      </c>
      <c r="P983" s="41" t="s">
        <v>78</v>
      </c>
      <c r="Q983" s="41"/>
      <c r="R983" s="41"/>
    </row>
    <row r="984">
      <c r="F984" s="40"/>
      <c r="H984" s="40"/>
      <c r="I984" s="57"/>
      <c r="J984" s="43"/>
      <c r="K984" s="40"/>
      <c r="L984" s="40"/>
      <c r="M984" s="41"/>
      <c r="N984" s="41"/>
      <c r="O984" s="41" t="s">
        <v>78</v>
      </c>
      <c r="P984" s="41" t="s">
        <v>78</v>
      </c>
      <c r="Q984" s="41"/>
      <c r="R984" s="41"/>
    </row>
    <row r="985">
      <c r="F985" s="40"/>
      <c r="H985" s="40"/>
      <c r="I985" s="57"/>
      <c r="J985" s="43"/>
      <c r="K985" s="40"/>
      <c r="L985" s="40"/>
      <c r="M985" s="41"/>
      <c r="N985" s="41"/>
      <c r="O985" s="41" t="s">
        <v>78</v>
      </c>
      <c r="P985" s="41" t="s">
        <v>78</v>
      </c>
      <c r="Q985" s="41"/>
      <c r="R985" s="41"/>
    </row>
    <row r="986">
      <c r="F986" s="40"/>
      <c r="H986" s="40"/>
      <c r="I986" s="57"/>
      <c r="J986" s="43"/>
      <c r="K986" s="40"/>
      <c r="L986" s="40"/>
      <c r="M986" s="41"/>
      <c r="N986" s="41"/>
      <c r="O986" s="41" t="s">
        <v>78</v>
      </c>
      <c r="P986" s="41" t="s">
        <v>78</v>
      </c>
      <c r="Q986" s="41"/>
      <c r="R986" s="41"/>
    </row>
    <row r="987">
      <c r="F987" s="40"/>
      <c r="H987" s="40"/>
      <c r="I987" s="57"/>
      <c r="J987" s="43"/>
      <c r="K987" s="40"/>
      <c r="L987" s="40"/>
      <c r="M987" s="41"/>
      <c r="N987" s="41"/>
      <c r="O987" s="41" t="s">
        <v>78</v>
      </c>
      <c r="P987" s="41" t="s">
        <v>78</v>
      </c>
      <c r="Q987" s="41"/>
      <c r="R987" s="41"/>
    </row>
    <row r="988">
      <c r="F988" s="40"/>
      <c r="H988" s="40"/>
      <c r="I988" s="57"/>
      <c r="J988" s="43"/>
      <c r="K988" s="40"/>
      <c r="L988" s="40"/>
      <c r="M988" s="41"/>
      <c r="N988" s="41"/>
      <c r="O988" s="41" t="s">
        <v>78</v>
      </c>
      <c r="P988" s="41" t="s">
        <v>78</v>
      </c>
      <c r="Q988" s="41"/>
      <c r="R988" s="41"/>
    </row>
    <row r="989">
      <c r="F989" s="40"/>
      <c r="H989" s="40"/>
      <c r="I989" s="57"/>
      <c r="J989" s="43"/>
      <c r="K989" s="40"/>
      <c r="L989" s="40"/>
      <c r="M989" s="41"/>
      <c r="N989" s="41"/>
      <c r="O989" s="41" t="s">
        <v>78</v>
      </c>
      <c r="P989" s="41" t="s">
        <v>78</v>
      </c>
      <c r="Q989" s="41"/>
      <c r="R989" s="41"/>
    </row>
    <row r="990">
      <c r="F990" s="40"/>
      <c r="H990" s="40"/>
      <c r="I990" s="57"/>
      <c r="J990" s="43"/>
      <c r="K990" s="40"/>
      <c r="L990" s="40"/>
      <c r="M990" s="41"/>
      <c r="N990" s="41"/>
      <c r="O990" s="41" t="s">
        <v>78</v>
      </c>
      <c r="P990" s="41" t="s">
        <v>78</v>
      </c>
      <c r="Q990" s="41"/>
      <c r="R990" s="41"/>
    </row>
    <row r="991">
      <c r="F991" s="40"/>
      <c r="H991" s="40"/>
      <c r="I991" s="57"/>
      <c r="J991" s="43"/>
      <c r="K991" s="40"/>
      <c r="L991" s="40"/>
      <c r="M991" s="41"/>
      <c r="N991" s="41"/>
      <c r="O991" s="41" t="s">
        <v>78</v>
      </c>
      <c r="P991" s="41" t="s">
        <v>78</v>
      </c>
      <c r="Q991" s="41"/>
      <c r="R991" s="41"/>
    </row>
    <row r="992">
      <c r="F992" s="40"/>
      <c r="H992" s="40"/>
      <c r="I992" s="57"/>
      <c r="J992" s="43"/>
      <c r="K992" s="40"/>
      <c r="L992" s="40"/>
      <c r="M992" s="41"/>
      <c r="N992" s="41"/>
      <c r="O992" s="41" t="s">
        <v>78</v>
      </c>
      <c r="P992" s="41" t="s">
        <v>78</v>
      </c>
      <c r="Q992" s="41"/>
      <c r="R992" s="41"/>
    </row>
    <row r="993">
      <c r="F993" s="40"/>
      <c r="H993" s="40"/>
      <c r="I993" s="57"/>
      <c r="J993" s="43"/>
      <c r="K993" s="40"/>
      <c r="L993" s="40"/>
      <c r="M993" s="41"/>
      <c r="N993" s="41"/>
      <c r="O993" s="41" t="s">
        <v>78</v>
      </c>
      <c r="P993" s="41" t="s">
        <v>78</v>
      </c>
      <c r="Q993" s="41"/>
      <c r="R993" s="41"/>
    </row>
    <row r="994">
      <c r="F994" s="40"/>
      <c r="H994" s="40"/>
      <c r="I994" s="57"/>
      <c r="J994" s="43"/>
      <c r="K994" s="40"/>
      <c r="L994" s="40"/>
      <c r="M994" s="41"/>
      <c r="N994" s="41"/>
      <c r="O994" s="41" t="s">
        <v>78</v>
      </c>
      <c r="P994" s="41" t="s">
        <v>78</v>
      </c>
      <c r="Q994" s="41"/>
      <c r="R994" s="41"/>
    </row>
    <row r="995">
      <c r="F995" s="40"/>
      <c r="H995" s="40"/>
      <c r="I995" s="57"/>
      <c r="J995" s="43"/>
      <c r="K995" s="40"/>
      <c r="L995" s="40"/>
      <c r="M995" s="41"/>
      <c r="N995" s="41"/>
      <c r="O995" s="41" t="s">
        <v>78</v>
      </c>
      <c r="P995" s="41" t="s">
        <v>78</v>
      </c>
      <c r="Q995" s="41"/>
      <c r="R995" s="41"/>
    </row>
    <row r="996">
      <c r="F996" s="40"/>
      <c r="H996" s="40"/>
      <c r="I996" s="57"/>
      <c r="J996" s="43"/>
      <c r="K996" s="40"/>
      <c r="L996" s="40"/>
      <c r="M996" s="41"/>
      <c r="N996" s="41"/>
      <c r="O996" s="41" t="s">
        <v>78</v>
      </c>
      <c r="P996" s="41" t="s">
        <v>78</v>
      </c>
      <c r="Q996" s="41"/>
      <c r="R996" s="41"/>
    </row>
    <row r="997">
      <c r="F997" s="40"/>
      <c r="H997" s="40"/>
      <c r="I997" s="57"/>
      <c r="J997" s="43"/>
      <c r="K997" s="40"/>
      <c r="L997" s="40"/>
      <c r="M997" s="41"/>
      <c r="N997" s="41"/>
      <c r="O997" s="41" t="s">
        <v>78</v>
      </c>
      <c r="P997" s="41" t="s">
        <v>78</v>
      </c>
      <c r="Q997" s="41"/>
      <c r="R997" s="41"/>
    </row>
    <row r="998">
      <c r="F998" s="40"/>
      <c r="H998" s="40"/>
      <c r="I998" s="57"/>
      <c r="J998" s="43"/>
      <c r="K998" s="40"/>
      <c r="L998" s="40"/>
      <c r="M998" s="41"/>
      <c r="N998" s="41"/>
      <c r="O998" s="41" t="s">
        <v>78</v>
      </c>
      <c r="P998" s="41" t="s">
        <v>78</v>
      </c>
      <c r="Q998" s="41"/>
      <c r="R998" s="41"/>
    </row>
    <row r="999">
      <c r="F999" s="40"/>
      <c r="H999" s="40"/>
      <c r="I999" s="57"/>
      <c r="J999" s="43"/>
      <c r="K999" s="40"/>
      <c r="L999" s="40"/>
      <c r="M999" s="41"/>
      <c r="N999" s="41"/>
      <c r="O999" s="41" t="s">
        <v>78</v>
      </c>
      <c r="P999" s="41" t="s">
        <v>78</v>
      </c>
      <c r="Q999" s="41"/>
      <c r="R999" s="41"/>
    </row>
    <row r="1000">
      <c r="F1000" s="40"/>
      <c r="H1000" s="40"/>
      <c r="I1000" s="57"/>
      <c r="J1000" s="43"/>
      <c r="K1000" s="40"/>
      <c r="L1000" s="40"/>
      <c r="M1000" s="41"/>
      <c r="N1000" s="41"/>
      <c r="O1000" s="41" t="s">
        <v>78</v>
      </c>
      <c r="P1000" s="41" t="s">
        <v>78</v>
      </c>
      <c r="Q1000" s="41"/>
      <c r="R1000" s="41"/>
    </row>
    <row r="1001">
      <c r="F1001" s="40"/>
      <c r="H1001" s="40"/>
      <c r="I1001" s="57"/>
      <c r="J1001" s="43"/>
      <c r="K1001" s="40"/>
      <c r="L1001" s="40"/>
      <c r="M1001" s="41"/>
      <c r="N1001" s="41"/>
      <c r="O1001" s="41" t="s">
        <v>78</v>
      </c>
      <c r="P1001" s="41" t="s">
        <v>78</v>
      </c>
      <c r="Q1001" s="41"/>
      <c r="R1001" s="41"/>
    </row>
    <row r="1002">
      <c r="F1002" s="40"/>
      <c r="H1002" s="40"/>
      <c r="I1002" s="57"/>
      <c r="J1002" s="43"/>
      <c r="K1002" s="40"/>
      <c r="L1002" s="40"/>
      <c r="M1002" s="41"/>
      <c r="N1002" s="41"/>
      <c r="O1002" s="41" t="s">
        <v>78</v>
      </c>
      <c r="P1002" s="41" t="s">
        <v>78</v>
      </c>
      <c r="Q1002" s="41"/>
      <c r="R1002" s="41"/>
    </row>
    <row r="1003">
      <c r="F1003" s="40"/>
      <c r="H1003" s="40"/>
      <c r="I1003" s="57"/>
      <c r="J1003" s="43"/>
      <c r="K1003" s="40"/>
      <c r="L1003" s="40"/>
      <c r="M1003" s="41"/>
      <c r="N1003" s="41"/>
      <c r="O1003" s="41" t="s">
        <v>78</v>
      </c>
      <c r="P1003" s="41" t="s">
        <v>78</v>
      </c>
      <c r="Q1003" s="41"/>
      <c r="R1003" s="41"/>
    </row>
    <row r="1004">
      <c r="F1004" s="40"/>
      <c r="H1004" s="40"/>
      <c r="I1004" s="57"/>
      <c r="J1004" s="43"/>
      <c r="K1004" s="40"/>
      <c r="L1004" s="40"/>
      <c r="M1004" s="41"/>
      <c r="N1004" s="41"/>
      <c r="O1004" s="41" t="s">
        <v>78</v>
      </c>
      <c r="P1004" s="41" t="s">
        <v>78</v>
      </c>
      <c r="Q1004" s="41"/>
      <c r="R1004" s="41"/>
    </row>
    <row r="1005">
      <c r="F1005" s="40"/>
      <c r="H1005" s="40"/>
      <c r="I1005" s="57"/>
      <c r="J1005" s="43"/>
      <c r="K1005" s="40"/>
      <c r="L1005" s="40"/>
      <c r="M1005" s="41"/>
      <c r="N1005" s="41"/>
      <c r="O1005" s="41" t="s">
        <v>78</v>
      </c>
      <c r="P1005" s="41" t="s">
        <v>78</v>
      </c>
      <c r="Q1005" s="41"/>
      <c r="R1005" s="41"/>
    </row>
    <row r="1006">
      <c r="F1006" s="40"/>
      <c r="H1006" s="40"/>
      <c r="I1006" s="57"/>
      <c r="J1006" s="43"/>
      <c r="K1006" s="40"/>
      <c r="L1006" s="40"/>
      <c r="M1006" s="41"/>
      <c r="N1006" s="41"/>
      <c r="O1006" s="41" t="s">
        <v>78</v>
      </c>
      <c r="P1006" s="41" t="s">
        <v>78</v>
      </c>
      <c r="Q1006" s="41"/>
      <c r="R1006" s="41"/>
    </row>
    <row r="1007">
      <c r="F1007" s="40"/>
      <c r="H1007" s="40"/>
      <c r="I1007" s="57"/>
      <c r="J1007" s="43"/>
      <c r="K1007" s="40"/>
      <c r="L1007" s="40"/>
      <c r="M1007" s="41"/>
      <c r="N1007" s="41"/>
      <c r="O1007" s="41" t="s">
        <v>78</v>
      </c>
      <c r="P1007" s="41" t="s">
        <v>78</v>
      </c>
      <c r="Q1007" s="41"/>
      <c r="R1007" s="41"/>
    </row>
    <row r="1008">
      <c r="F1008" s="40"/>
      <c r="H1008" s="40"/>
      <c r="I1008" s="57"/>
      <c r="J1008" s="43"/>
      <c r="K1008" s="40"/>
      <c r="L1008" s="40"/>
      <c r="M1008" s="41"/>
      <c r="N1008" s="41"/>
      <c r="O1008" s="41" t="s">
        <v>78</v>
      </c>
      <c r="P1008" s="41" t="s">
        <v>78</v>
      </c>
      <c r="Q1008" s="41"/>
      <c r="R1008" s="41"/>
    </row>
    <row r="1009">
      <c r="F1009" s="40"/>
      <c r="H1009" s="40"/>
      <c r="I1009" s="57"/>
      <c r="J1009" s="43"/>
      <c r="K1009" s="40"/>
      <c r="L1009" s="40"/>
      <c r="M1009" s="41"/>
      <c r="N1009" s="41"/>
      <c r="O1009" s="41" t="s">
        <v>78</v>
      </c>
      <c r="P1009" s="41" t="s">
        <v>78</v>
      </c>
      <c r="Q1009" s="41"/>
      <c r="R1009" s="41"/>
    </row>
    <row r="1010">
      <c r="F1010" s="40"/>
      <c r="H1010" s="40"/>
      <c r="I1010" s="57"/>
      <c r="J1010" s="43"/>
      <c r="K1010" s="40"/>
      <c r="L1010" s="40"/>
      <c r="M1010" s="41"/>
      <c r="N1010" s="41"/>
      <c r="O1010" s="41" t="s">
        <v>78</v>
      </c>
      <c r="P1010" s="41" t="s">
        <v>78</v>
      </c>
      <c r="Q1010" s="41"/>
      <c r="R1010" s="41"/>
    </row>
    <row r="1011">
      <c r="F1011" s="40"/>
      <c r="H1011" s="40"/>
      <c r="I1011" s="57"/>
      <c r="J1011" s="43"/>
      <c r="K1011" s="40"/>
      <c r="L1011" s="40"/>
      <c r="M1011" s="41"/>
      <c r="N1011" s="41"/>
      <c r="O1011" s="41" t="s">
        <v>78</v>
      </c>
      <c r="P1011" s="41" t="s">
        <v>78</v>
      </c>
      <c r="Q1011" s="41"/>
      <c r="R1011" s="41"/>
    </row>
    <row r="1012">
      <c r="F1012" s="40"/>
      <c r="H1012" s="40"/>
      <c r="I1012" s="57"/>
      <c r="J1012" s="43"/>
      <c r="K1012" s="40"/>
      <c r="L1012" s="40"/>
      <c r="M1012" s="41"/>
      <c r="N1012" s="41"/>
      <c r="O1012" s="41" t="s">
        <v>78</v>
      </c>
      <c r="P1012" s="41" t="s">
        <v>78</v>
      </c>
      <c r="Q1012" s="41"/>
      <c r="R1012" s="41"/>
    </row>
    <row r="1013">
      <c r="F1013" s="40"/>
      <c r="H1013" s="40"/>
      <c r="I1013" s="57"/>
      <c r="J1013" s="43"/>
      <c r="K1013" s="40"/>
      <c r="L1013" s="40"/>
      <c r="M1013" s="41"/>
      <c r="N1013" s="41"/>
      <c r="O1013" s="41" t="s">
        <v>78</v>
      </c>
      <c r="P1013" s="41" t="s">
        <v>78</v>
      </c>
      <c r="Q1013" s="41"/>
      <c r="R1013" s="41"/>
    </row>
    <row r="1014">
      <c r="F1014" s="40"/>
      <c r="H1014" s="40"/>
      <c r="I1014" s="57"/>
      <c r="J1014" s="43"/>
      <c r="K1014" s="40"/>
      <c r="L1014" s="40"/>
      <c r="M1014" s="41"/>
      <c r="N1014" s="41"/>
      <c r="O1014" s="41" t="s">
        <v>78</v>
      </c>
      <c r="P1014" s="41" t="s">
        <v>78</v>
      </c>
      <c r="Q1014" s="41"/>
      <c r="R1014" s="41"/>
    </row>
    <row r="1015">
      <c r="F1015" s="40"/>
      <c r="H1015" s="40"/>
      <c r="I1015" s="57"/>
      <c r="J1015" s="43"/>
      <c r="K1015" s="40"/>
      <c r="L1015" s="40"/>
      <c r="M1015" s="41"/>
      <c r="N1015" s="41"/>
      <c r="O1015" s="41" t="s">
        <v>78</v>
      </c>
      <c r="P1015" s="41" t="s">
        <v>78</v>
      </c>
      <c r="Q1015" s="41"/>
      <c r="R1015" s="41"/>
    </row>
    <row r="1016">
      <c r="F1016" s="40"/>
      <c r="H1016" s="40"/>
      <c r="I1016" s="57"/>
      <c r="J1016" s="43"/>
      <c r="K1016" s="40"/>
      <c r="L1016" s="40"/>
      <c r="M1016" s="41"/>
      <c r="N1016" s="41"/>
      <c r="O1016" s="41" t="s">
        <v>78</v>
      </c>
      <c r="P1016" s="41" t="s">
        <v>78</v>
      </c>
      <c r="Q1016" s="41"/>
      <c r="R1016" s="41"/>
    </row>
    <row r="1017">
      <c r="F1017" s="40"/>
      <c r="H1017" s="40"/>
      <c r="I1017" s="57"/>
      <c r="J1017" s="43"/>
      <c r="K1017" s="40"/>
      <c r="L1017" s="40"/>
      <c r="M1017" s="41"/>
      <c r="N1017" s="41"/>
      <c r="O1017" s="41" t="s">
        <v>78</v>
      </c>
      <c r="P1017" s="41" t="s">
        <v>78</v>
      </c>
      <c r="Q1017" s="41"/>
      <c r="R1017" s="41"/>
    </row>
    <row r="1018">
      <c r="F1018" s="40"/>
      <c r="H1018" s="40"/>
      <c r="I1018" s="57"/>
      <c r="J1018" s="43"/>
      <c r="K1018" s="40"/>
      <c r="L1018" s="40"/>
      <c r="M1018" s="41"/>
      <c r="N1018" s="41"/>
      <c r="O1018" s="41" t="s">
        <v>78</v>
      </c>
      <c r="P1018" s="41" t="s">
        <v>78</v>
      </c>
      <c r="Q1018" s="41"/>
      <c r="R1018" s="41"/>
    </row>
    <row r="1019">
      <c r="F1019" s="40"/>
      <c r="H1019" s="40"/>
      <c r="I1019" s="57"/>
      <c r="J1019" s="43"/>
      <c r="K1019" s="40"/>
      <c r="L1019" s="40"/>
      <c r="M1019" s="41"/>
      <c r="N1019" s="41"/>
      <c r="O1019" s="41" t="s">
        <v>78</v>
      </c>
      <c r="P1019" s="41" t="s">
        <v>78</v>
      </c>
      <c r="Q1019" s="41"/>
      <c r="R1019" s="41"/>
    </row>
    <row r="1020">
      <c r="F1020" s="40"/>
      <c r="H1020" s="40"/>
      <c r="I1020" s="57"/>
      <c r="J1020" s="43"/>
      <c r="K1020" s="40"/>
      <c r="L1020" s="40"/>
      <c r="M1020" s="41"/>
      <c r="N1020" s="41"/>
      <c r="O1020" s="41" t="s">
        <v>78</v>
      </c>
      <c r="P1020" s="41" t="s">
        <v>78</v>
      </c>
      <c r="Q1020" s="41"/>
      <c r="R1020" s="41"/>
    </row>
    <row r="1021">
      <c r="F1021" s="40"/>
      <c r="H1021" s="40"/>
      <c r="I1021" s="57"/>
      <c r="J1021" s="43"/>
      <c r="K1021" s="40"/>
      <c r="L1021" s="40"/>
      <c r="M1021" s="41"/>
      <c r="N1021" s="41"/>
      <c r="O1021" s="41" t="s">
        <v>78</v>
      </c>
      <c r="P1021" s="41" t="s">
        <v>78</v>
      </c>
      <c r="Q1021" s="41"/>
      <c r="R1021" s="41"/>
    </row>
    <row r="1022">
      <c r="F1022" s="40"/>
      <c r="H1022" s="40"/>
      <c r="I1022" s="57"/>
      <c r="J1022" s="43"/>
      <c r="K1022" s="40"/>
      <c r="L1022" s="40"/>
      <c r="M1022" s="41"/>
      <c r="N1022" s="41"/>
      <c r="O1022" s="41" t="s">
        <v>78</v>
      </c>
      <c r="P1022" s="41" t="s">
        <v>78</v>
      </c>
      <c r="Q1022" s="41"/>
      <c r="R1022" s="41"/>
    </row>
    <row r="1023">
      <c r="F1023" s="40"/>
      <c r="H1023" s="40"/>
      <c r="I1023" s="57"/>
      <c r="J1023" s="43"/>
      <c r="K1023" s="40"/>
      <c r="L1023" s="40"/>
      <c r="M1023" s="41"/>
      <c r="N1023" s="41"/>
      <c r="O1023" s="41" t="s">
        <v>78</v>
      </c>
      <c r="P1023" s="41" t="s">
        <v>78</v>
      </c>
      <c r="Q1023" s="41"/>
      <c r="R1023" s="41"/>
    </row>
    <row r="1024">
      <c r="F1024" s="40"/>
      <c r="H1024" s="40"/>
      <c r="I1024" s="57"/>
      <c r="J1024" s="43"/>
      <c r="K1024" s="40"/>
      <c r="L1024" s="40"/>
      <c r="M1024" s="41"/>
      <c r="N1024" s="41"/>
      <c r="O1024" s="41" t="s">
        <v>78</v>
      </c>
      <c r="P1024" s="41" t="s">
        <v>78</v>
      </c>
      <c r="Q1024" s="41"/>
      <c r="R1024" s="41"/>
    </row>
    <row r="1025">
      <c r="F1025" s="40"/>
      <c r="H1025" s="40"/>
      <c r="I1025" s="57"/>
      <c r="J1025" s="43"/>
      <c r="K1025" s="40"/>
      <c r="L1025" s="40"/>
      <c r="M1025" s="41"/>
      <c r="N1025" s="41"/>
      <c r="O1025" s="41" t="s">
        <v>78</v>
      </c>
      <c r="P1025" s="41" t="s">
        <v>78</v>
      </c>
      <c r="Q1025" s="41"/>
      <c r="R1025" s="41"/>
    </row>
    <row r="1026">
      <c r="F1026" s="40"/>
      <c r="H1026" s="40"/>
      <c r="I1026" s="57"/>
      <c r="J1026" s="43"/>
      <c r="K1026" s="40"/>
      <c r="L1026" s="40"/>
      <c r="M1026" s="41"/>
      <c r="N1026" s="41"/>
      <c r="O1026" s="41" t="s">
        <v>78</v>
      </c>
      <c r="P1026" s="41" t="s">
        <v>78</v>
      </c>
      <c r="Q1026" s="41"/>
      <c r="R1026" s="41"/>
    </row>
    <row r="1027">
      <c r="F1027" s="40"/>
      <c r="H1027" s="40"/>
      <c r="I1027" s="57"/>
      <c r="J1027" s="43"/>
      <c r="K1027" s="40"/>
      <c r="L1027" s="40"/>
      <c r="M1027" s="41"/>
      <c r="N1027" s="41"/>
      <c r="O1027" s="41" t="s">
        <v>78</v>
      </c>
      <c r="P1027" s="41" t="s">
        <v>78</v>
      </c>
      <c r="Q1027" s="41"/>
      <c r="R1027" s="41"/>
    </row>
    <row r="1028">
      <c r="F1028" s="40"/>
      <c r="H1028" s="40"/>
      <c r="I1028" s="57"/>
      <c r="J1028" s="43"/>
      <c r="K1028" s="40"/>
      <c r="L1028" s="40"/>
      <c r="M1028" s="41"/>
      <c r="N1028" s="41"/>
      <c r="O1028" s="41" t="s">
        <v>78</v>
      </c>
      <c r="P1028" s="41" t="s">
        <v>78</v>
      </c>
      <c r="Q1028" s="41"/>
      <c r="R1028" s="41"/>
    </row>
    <row r="1029">
      <c r="F1029" s="40"/>
      <c r="H1029" s="40"/>
      <c r="I1029" s="57"/>
      <c r="J1029" s="43"/>
      <c r="K1029" s="40"/>
      <c r="L1029" s="40"/>
      <c r="M1029" s="41"/>
      <c r="N1029" s="41"/>
      <c r="O1029" s="41" t="s">
        <v>78</v>
      </c>
      <c r="P1029" s="41" t="s">
        <v>78</v>
      </c>
      <c r="Q1029" s="41"/>
      <c r="R1029" s="41"/>
    </row>
    <row r="1030">
      <c r="F1030" s="40"/>
      <c r="H1030" s="40"/>
      <c r="I1030" s="57"/>
      <c r="J1030" s="43"/>
      <c r="K1030" s="40"/>
      <c r="L1030" s="40"/>
      <c r="M1030" s="41"/>
      <c r="N1030" s="41"/>
      <c r="O1030" s="41" t="s">
        <v>78</v>
      </c>
      <c r="P1030" s="41" t="s">
        <v>78</v>
      </c>
      <c r="Q1030" s="41"/>
      <c r="R1030" s="41"/>
    </row>
    <row r="1031">
      <c r="F1031" s="40"/>
      <c r="H1031" s="40"/>
      <c r="I1031" s="57"/>
      <c r="J1031" s="43"/>
      <c r="K1031" s="40"/>
      <c r="L1031" s="40"/>
      <c r="M1031" s="41"/>
      <c r="N1031" s="41"/>
      <c r="O1031" s="41" t="s">
        <v>78</v>
      </c>
      <c r="P1031" s="41" t="s">
        <v>78</v>
      </c>
      <c r="Q1031" s="41"/>
      <c r="R1031" s="41"/>
    </row>
    <row r="1032">
      <c r="F1032" s="40"/>
      <c r="H1032" s="40"/>
      <c r="I1032" s="57"/>
      <c r="J1032" s="43"/>
      <c r="K1032" s="40"/>
      <c r="L1032" s="40"/>
      <c r="M1032" s="41"/>
      <c r="N1032" s="41"/>
      <c r="O1032" s="41" t="s">
        <v>78</v>
      </c>
      <c r="P1032" s="41" t="s">
        <v>78</v>
      </c>
      <c r="Q1032" s="41"/>
      <c r="R1032" s="41"/>
    </row>
    <row r="1033">
      <c r="F1033" s="40"/>
      <c r="H1033" s="40"/>
      <c r="I1033" s="57"/>
      <c r="J1033" s="43"/>
      <c r="K1033" s="40"/>
      <c r="L1033" s="40"/>
      <c r="M1033" s="41"/>
      <c r="N1033" s="41"/>
      <c r="O1033" s="41" t="s">
        <v>78</v>
      </c>
      <c r="P1033" s="41" t="s">
        <v>78</v>
      </c>
      <c r="Q1033" s="41"/>
      <c r="R1033" s="41"/>
    </row>
    <row r="1034">
      <c r="F1034" s="40"/>
      <c r="H1034" s="40"/>
      <c r="I1034" s="57"/>
      <c r="J1034" s="43"/>
      <c r="K1034" s="40"/>
      <c r="L1034" s="40"/>
      <c r="M1034" s="41"/>
      <c r="N1034" s="41"/>
      <c r="O1034" s="41" t="s">
        <v>78</v>
      </c>
      <c r="P1034" s="41" t="s">
        <v>78</v>
      </c>
      <c r="Q1034" s="41"/>
      <c r="R1034" s="41"/>
    </row>
    <row r="1035">
      <c r="F1035" s="40"/>
      <c r="H1035" s="40"/>
      <c r="I1035" s="57"/>
      <c r="J1035" s="43"/>
      <c r="K1035" s="40"/>
      <c r="L1035" s="40"/>
      <c r="M1035" s="41"/>
      <c r="N1035" s="41"/>
      <c r="O1035" s="41" t="s">
        <v>78</v>
      </c>
      <c r="P1035" s="41" t="s">
        <v>78</v>
      </c>
      <c r="Q1035" s="41"/>
      <c r="R1035" s="41"/>
    </row>
    <row r="1036">
      <c r="F1036" s="40"/>
      <c r="H1036" s="40"/>
      <c r="I1036" s="57"/>
      <c r="J1036" s="43"/>
      <c r="K1036" s="40"/>
      <c r="L1036" s="40"/>
      <c r="M1036" s="41"/>
      <c r="N1036" s="41"/>
      <c r="O1036" s="41" t="s">
        <v>78</v>
      </c>
      <c r="P1036" s="41" t="s">
        <v>78</v>
      </c>
      <c r="Q1036" s="41"/>
      <c r="R1036" s="41"/>
    </row>
    <row r="1037">
      <c r="F1037" s="40"/>
      <c r="H1037" s="40"/>
      <c r="I1037" s="57"/>
      <c r="J1037" s="43"/>
      <c r="K1037" s="40"/>
      <c r="L1037" s="40"/>
      <c r="M1037" s="41"/>
      <c r="N1037" s="41"/>
      <c r="O1037" s="41" t="s">
        <v>78</v>
      </c>
      <c r="P1037" s="41" t="s">
        <v>78</v>
      </c>
      <c r="Q1037" s="41"/>
      <c r="R1037" s="41"/>
    </row>
    <row r="1038">
      <c r="F1038" s="40"/>
      <c r="H1038" s="40"/>
      <c r="I1038" s="57"/>
      <c r="J1038" s="43"/>
      <c r="K1038" s="40"/>
      <c r="L1038" s="40"/>
      <c r="M1038" s="41"/>
      <c r="N1038" s="41"/>
      <c r="O1038" s="41" t="s">
        <v>78</v>
      </c>
      <c r="P1038" s="41" t="s">
        <v>78</v>
      </c>
      <c r="Q1038" s="41"/>
      <c r="R1038" s="41"/>
    </row>
    <row r="1039">
      <c r="F1039" s="40"/>
      <c r="H1039" s="40"/>
      <c r="I1039" s="57"/>
      <c r="J1039" s="43"/>
      <c r="K1039" s="40"/>
      <c r="L1039" s="40"/>
      <c r="M1039" s="41"/>
      <c r="N1039" s="41"/>
      <c r="O1039" s="41" t="s">
        <v>78</v>
      </c>
      <c r="P1039" s="41" t="s">
        <v>78</v>
      </c>
      <c r="Q1039" s="41"/>
      <c r="R1039" s="41"/>
    </row>
    <row r="1040">
      <c r="F1040" s="40"/>
      <c r="H1040" s="40"/>
      <c r="I1040" s="57"/>
      <c r="J1040" s="43"/>
      <c r="K1040" s="40"/>
      <c r="L1040" s="40"/>
      <c r="M1040" s="41"/>
      <c r="N1040" s="41"/>
      <c r="O1040" s="41" t="s">
        <v>78</v>
      </c>
      <c r="P1040" s="41" t="s">
        <v>78</v>
      </c>
      <c r="Q1040" s="41"/>
      <c r="R1040" s="41"/>
    </row>
    <row r="1041">
      <c r="F1041" s="40"/>
      <c r="H1041" s="40"/>
      <c r="I1041" s="57"/>
      <c r="J1041" s="43"/>
      <c r="K1041" s="40"/>
      <c r="L1041" s="40"/>
      <c r="M1041" s="41"/>
      <c r="N1041" s="41"/>
      <c r="O1041" s="41" t="s">
        <v>78</v>
      </c>
      <c r="P1041" s="41" t="s">
        <v>78</v>
      </c>
      <c r="Q1041" s="41"/>
      <c r="R1041" s="41"/>
    </row>
    <row r="1042">
      <c r="F1042" s="40"/>
      <c r="H1042" s="40"/>
      <c r="I1042" s="57"/>
      <c r="J1042" s="43"/>
      <c r="K1042" s="40"/>
      <c r="L1042" s="40"/>
      <c r="M1042" s="41"/>
      <c r="N1042" s="41"/>
      <c r="O1042" s="41" t="s">
        <v>78</v>
      </c>
      <c r="P1042" s="41" t="s">
        <v>78</v>
      </c>
      <c r="Q1042" s="41"/>
      <c r="R1042" s="41"/>
    </row>
    <row r="1043">
      <c r="F1043" s="40"/>
      <c r="H1043" s="40"/>
      <c r="I1043" s="57"/>
      <c r="J1043" s="43"/>
      <c r="K1043" s="40"/>
      <c r="L1043" s="40"/>
      <c r="M1043" s="41"/>
      <c r="N1043" s="41"/>
      <c r="O1043" s="41" t="s">
        <v>78</v>
      </c>
      <c r="P1043" s="41" t="s">
        <v>78</v>
      </c>
      <c r="Q1043" s="41"/>
      <c r="R1043" s="41"/>
    </row>
    <row r="1044">
      <c r="F1044" s="40"/>
      <c r="H1044" s="40"/>
      <c r="I1044" s="57"/>
      <c r="J1044" s="43"/>
      <c r="K1044" s="40"/>
      <c r="L1044" s="40"/>
      <c r="M1044" s="41"/>
      <c r="N1044" s="41"/>
      <c r="O1044" s="41" t="s">
        <v>78</v>
      </c>
      <c r="P1044" s="41" t="s">
        <v>78</v>
      </c>
      <c r="Q1044" s="41"/>
      <c r="R1044" s="41"/>
    </row>
    <row r="1045">
      <c r="F1045" s="40"/>
      <c r="H1045" s="40"/>
      <c r="I1045" s="57"/>
      <c r="J1045" s="43"/>
      <c r="K1045" s="40"/>
      <c r="L1045" s="40"/>
      <c r="M1045" s="41"/>
      <c r="N1045" s="41"/>
      <c r="O1045" s="41" t="s">
        <v>78</v>
      </c>
      <c r="P1045" s="41" t="s">
        <v>78</v>
      </c>
      <c r="Q1045" s="41"/>
      <c r="R1045" s="41"/>
    </row>
    <row r="1046">
      <c r="F1046" s="40"/>
      <c r="H1046" s="40"/>
      <c r="I1046" s="57"/>
      <c r="J1046" s="43"/>
      <c r="K1046" s="40"/>
      <c r="L1046" s="40"/>
      <c r="M1046" s="41"/>
      <c r="N1046" s="41"/>
      <c r="O1046" s="41" t="s">
        <v>78</v>
      </c>
      <c r="P1046" s="41" t="s">
        <v>78</v>
      </c>
      <c r="Q1046" s="41"/>
      <c r="R1046" s="41"/>
    </row>
    <row r="1047">
      <c r="F1047" s="40"/>
      <c r="H1047" s="40"/>
      <c r="I1047" s="57"/>
      <c r="J1047" s="43"/>
      <c r="K1047" s="40"/>
      <c r="L1047" s="40"/>
      <c r="M1047" s="41"/>
      <c r="N1047" s="41"/>
      <c r="O1047" s="41" t="s">
        <v>78</v>
      </c>
      <c r="P1047" s="41" t="s">
        <v>78</v>
      </c>
      <c r="Q1047" s="41"/>
      <c r="R1047" s="41"/>
    </row>
    <row r="1048">
      <c r="F1048" s="40"/>
      <c r="H1048" s="40"/>
      <c r="I1048" s="57"/>
      <c r="J1048" s="43"/>
      <c r="K1048" s="40"/>
      <c r="L1048" s="40"/>
      <c r="M1048" s="41"/>
      <c r="N1048" s="41"/>
      <c r="O1048" s="41" t="s">
        <v>78</v>
      </c>
      <c r="P1048" s="41" t="s">
        <v>78</v>
      </c>
      <c r="Q1048" s="41"/>
      <c r="R1048" s="41"/>
    </row>
    <row r="1049">
      <c r="F1049" s="40"/>
      <c r="H1049" s="40"/>
      <c r="I1049" s="57"/>
      <c r="J1049" s="43"/>
      <c r="K1049" s="40"/>
      <c r="L1049" s="40"/>
      <c r="M1049" s="41"/>
      <c r="N1049" s="41"/>
      <c r="O1049" s="41" t="s">
        <v>78</v>
      </c>
      <c r="P1049" s="41" t="s">
        <v>78</v>
      </c>
      <c r="Q1049" s="41"/>
      <c r="R1049" s="41"/>
    </row>
    <row r="1050">
      <c r="F1050" s="40"/>
      <c r="H1050" s="40"/>
      <c r="I1050" s="57"/>
      <c r="J1050" s="43"/>
      <c r="K1050" s="40"/>
      <c r="L1050" s="40"/>
      <c r="M1050" s="41"/>
      <c r="N1050" s="41"/>
      <c r="O1050" s="41" t="s">
        <v>78</v>
      </c>
      <c r="P1050" s="41" t="s">
        <v>78</v>
      </c>
      <c r="Q1050" s="41"/>
      <c r="R1050" s="41"/>
    </row>
    <row r="1051">
      <c r="F1051" s="40"/>
      <c r="H1051" s="40"/>
      <c r="I1051" s="57"/>
      <c r="J1051" s="43"/>
      <c r="K1051" s="40"/>
      <c r="L1051" s="40"/>
      <c r="M1051" s="41"/>
      <c r="N1051" s="41"/>
      <c r="O1051" s="41" t="s">
        <v>78</v>
      </c>
      <c r="P1051" s="41" t="s">
        <v>78</v>
      </c>
      <c r="Q1051" s="41"/>
      <c r="R1051" s="41"/>
    </row>
    <row r="1052">
      <c r="F1052" s="40"/>
      <c r="H1052" s="40"/>
      <c r="I1052" s="57"/>
      <c r="J1052" s="43"/>
      <c r="K1052" s="40"/>
      <c r="L1052" s="40"/>
      <c r="M1052" s="41"/>
      <c r="N1052" s="41"/>
      <c r="O1052" s="41" t="s">
        <v>78</v>
      </c>
      <c r="P1052" s="41" t="s">
        <v>78</v>
      </c>
      <c r="Q1052" s="41"/>
      <c r="R1052" s="41"/>
    </row>
    <row r="1053">
      <c r="F1053" s="40"/>
      <c r="H1053" s="40"/>
      <c r="I1053" s="57"/>
      <c r="J1053" s="43"/>
      <c r="K1053" s="40"/>
      <c r="L1053" s="40"/>
      <c r="M1053" s="41"/>
      <c r="N1053" s="41"/>
      <c r="O1053" s="41" t="s">
        <v>78</v>
      </c>
      <c r="P1053" s="41" t="s">
        <v>78</v>
      </c>
      <c r="Q1053" s="41"/>
      <c r="R1053" s="41"/>
    </row>
    <row r="1054">
      <c r="F1054" s="40"/>
      <c r="H1054" s="40"/>
      <c r="I1054" s="57"/>
      <c r="J1054" s="43"/>
      <c r="K1054" s="40"/>
      <c r="L1054" s="40"/>
      <c r="M1054" s="41"/>
      <c r="N1054" s="41"/>
      <c r="O1054" s="41" t="s">
        <v>78</v>
      </c>
      <c r="P1054" s="41" t="s">
        <v>78</v>
      </c>
      <c r="Q1054" s="41"/>
      <c r="R1054" s="41"/>
    </row>
    <row r="1055">
      <c r="F1055" s="40"/>
      <c r="H1055" s="40"/>
      <c r="I1055" s="57"/>
      <c r="J1055" s="43"/>
      <c r="K1055" s="40"/>
      <c r="L1055" s="40"/>
      <c r="M1055" s="41"/>
      <c r="N1055" s="41"/>
      <c r="O1055" s="41" t="s">
        <v>78</v>
      </c>
      <c r="P1055" s="41" t="s">
        <v>78</v>
      </c>
      <c r="Q1055" s="41"/>
      <c r="R1055" s="41"/>
    </row>
    <row r="1056">
      <c r="F1056" s="40"/>
      <c r="H1056" s="40"/>
      <c r="I1056" s="57"/>
      <c r="J1056" s="43"/>
      <c r="K1056" s="40"/>
      <c r="L1056" s="40"/>
      <c r="M1056" s="41"/>
      <c r="N1056" s="41"/>
      <c r="O1056" s="41" t="s">
        <v>78</v>
      </c>
      <c r="P1056" s="41" t="s">
        <v>78</v>
      </c>
      <c r="Q1056" s="41"/>
      <c r="R1056" s="41"/>
    </row>
    <row r="1057">
      <c r="F1057" s="40"/>
      <c r="H1057" s="40"/>
      <c r="I1057" s="57"/>
      <c r="J1057" s="43"/>
      <c r="K1057" s="40"/>
      <c r="L1057" s="40"/>
      <c r="M1057" s="41"/>
      <c r="N1057" s="41"/>
      <c r="O1057" s="41" t="s">
        <v>78</v>
      </c>
      <c r="P1057" s="41" t="s">
        <v>78</v>
      </c>
      <c r="Q1057" s="41"/>
      <c r="R1057" s="41"/>
    </row>
    <row r="1058">
      <c r="F1058" s="40"/>
      <c r="H1058" s="40"/>
      <c r="I1058" s="57"/>
      <c r="J1058" s="43"/>
      <c r="K1058" s="40"/>
      <c r="L1058" s="40"/>
      <c r="M1058" s="41"/>
      <c r="N1058" s="41"/>
      <c r="O1058" s="41" t="s">
        <v>78</v>
      </c>
      <c r="P1058" s="41" t="s">
        <v>78</v>
      </c>
      <c r="Q1058" s="41"/>
      <c r="R1058" s="41"/>
    </row>
    <row r="1059">
      <c r="F1059" s="40"/>
      <c r="H1059" s="40"/>
      <c r="I1059" s="57"/>
      <c r="J1059" s="43"/>
      <c r="K1059" s="40"/>
      <c r="L1059" s="40"/>
      <c r="M1059" s="41"/>
      <c r="N1059" s="41"/>
      <c r="O1059" s="41" t="s">
        <v>78</v>
      </c>
      <c r="P1059" s="41" t="s">
        <v>78</v>
      </c>
      <c r="Q1059" s="41"/>
      <c r="R1059" s="41"/>
    </row>
    <row r="1060">
      <c r="F1060" s="40"/>
      <c r="H1060" s="40"/>
      <c r="I1060" s="57"/>
      <c r="J1060" s="43"/>
      <c r="K1060" s="40"/>
      <c r="L1060" s="40"/>
      <c r="M1060" s="41"/>
      <c r="N1060" s="41"/>
      <c r="O1060" s="41" t="s">
        <v>78</v>
      </c>
      <c r="P1060" s="41" t="s">
        <v>78</v>
      </c>
      <c r="Q1060" s="41"/>
      <c r="R1060" s="41"/>
    </row>
    <row r="1061">
      <c r="F1061" s="40"/>
      <c r="H1061" s="40"/>
      <c r="I1061" s="57"/>
      <c r="J1061" s="43"/>
      <c r="K1061" s="40"/>
      <c r="L1061" s="40"/>
      <c r="M1061" s="41"/>
      <c r="N1061" s="41"/>
      <c r="O1061" s="41" t="s">
        <v>78</v>
      </c>
      <c r="P1061" s="41" t="s">
        <v>78</v>
      </c>
      <c r="Q1061" s="41"/>
      <c r="R1061" s="41"/>
    </row>
    <row r="1062">
      <c r="F1062" s="40"/>
      <c r="H1062" s="40"/>
      <c r="I1062" s="57"/>
      <c r="J1062" s="43"/>
      <c r="K1062" s="40"/>
      <c r="L1062" s="40"/>
      <c r="M1062" s="41"/>
      <c r="N1062" s="41"/>
      <c r="O1062" s="41" t="s">
        <v>78</v>
      </c>
      <c r="P1062" s="41" t="s">
        <v>78</v>
      </c>
      <c r="Q1062" s="41"/>
      <c r="R1062" s="41"/>
    </row>
    <row r="1063">
      <c r="F1063" s="40"/>
      <c r="H1063" s="40"/>
      <c r="I1063" s="57"/>
      <c r="J1063" s="43"/>
      <c r="K1063" s="40"/>
      <c r="L1063" s="40"/>
      <c r="M1063" s="41"/>
      <c r="N1063" s="41"/>
      <c r="O1063" s="41" t="s">
        <v>78</v>
      </c>
      <c r="P1063" s="41" t="s">
        <v>78</v>
      </c>
      <c r="Q1063" s="41"/>
      <c r="R1063" s="41"/>
    </row>
    <row r="1064">
      <c r="F1064" s="40"/>
      <c r="H1064" s="40"/>
      <c r="I1064" s="57"/>
      <c r="J1064" s="43"/>
      <c r="K1064" s="40"/>
      <c r="L1064" s="40"/>
      <c r="M1064" s="41"/>
      <c r="N1064" s="41"/>
      <c r="O1064" s="41" t="s">
        <v>78</v>
      </c>
      <c r="P1064" s="41" t="s">
        <v>78</v>
      </c>
      <c r="Q1064" s="41"/>
      <c r="R1064" s="41"/>
    </row>
    <row r="1065">
      <c r="F1065" s="40"/>
      <c r="H1065" s="40"/>
      <c r="I1065" s="57"/>
      <c r="J1065" s="43"/>
      <c r="K1065" s="40"/>
      <c r="L1065" s="40"/>
      <c r="M1065" s="41"/>
      <c r="N1065" s="41"/>
      <c r="O1065" s="41" t="s">
        <v>78</v>
      </c>
      <c r="P1065" s="41" t="s">
        <v>78</v>
      </c>
      <c r="Q1065" s="41"/>
      <c r="R1065" s="41"/>
    </row>
    <row r="1066">
      <c r="F1066" s="40"/>
      <c r="H1066" s="40"/>
      <c r="I1066" s="57"/>
      <c r="J1066" s="43"/>
      <c r="K1066" s="40"/>
      <c r="L1066" s="40"/>
      <c r="M1066" s="41"/>
      <c r="N1066" s="41"/>
      <c r="O1066" s="41" t="s">
        <v>78</v>
      </c>
      <c r="P1066" s="41" t="s">
        <v>78</v>
      </c>
      <c r="Q1066" s="41"/>
      <c r="R1066" s="41"/>
    </row>
    <row r="1067">
      <c r="F1067" s="40"/>
      <c r="H1067" s="40"/>
      <c r="I1067" s="57"/>
      <c r="J1067" s="43"/>
      <c r="K1067" s="40"/>
      <c r="L1067" s="40"/>
      <c r="M1067" s="41"/>
      <c r="N1067" s="41"/>
      <c r="O1067" s="41" t="s">
        <v>78</v>
      </c>
      <c r="P1067" s="41" t="s">
        <v>78</v>
      </c>
      <c r="Q1067" s="41"/>
      <c r="R1067" s="41"/>
    </row>
    <row r="1068">
      <c r="F1068" s="40"/>
      <c r="H1068" s="40"/>
      <c r="I1068" s="57"/>
      <c r="J1068" s="43"/>
      <c r="K1068" s="40"/>
      <c r="L1068" s="40"/>
      <c r="M1068" s="41"/>
      <c r="N1068" s="41"/>
      <c r="O1068" s="41" t="s">
        <v>78</v>
      </c>
      <c r="P1068" s="41" t="s">
        <v>78</v>
      </c>
      <c r="Q1068" s="41"/>
      <c r="R1068" s="41"/>
    </row>
    <row r="1069">
      <c r="F1069" s="40"/>
      <c r="H1069" s="40"/>
      <c r="I1069" s="57"/>
      <c r="J1069" s="43"/>
      <c r="K1069" s="40"/>
      <c r="L1069" s="40"/>
      <c r="M1069" s="41"/>
      <c r="N1069" s="41"/>
      <c r="O1069" s="41" t="s">
        <v>78</v>
      </c>
      <c r="P1069" s="41" t="s">
        <v>78</v>
      </c>
      <c r="Q1069" s="41"/>
      <c r="R1069" s="41"/>
    </row>
    <row r="1070">
      <c r="F1070" s="40"/>
      <c r="H1070" s="40"/>
      <c r="I1070" s="57"/>
      <c r="J1070" s="43"/>
      <c r="K1070" s="40"/>
      <c r="L1070" s="40"/>
      <c r="M1070" s="41"/>
      <c r="N1070" s="41"/>
      <c r="O1070" s="41" t="s">
        <v>78</v>
      </c>
      <c r="P1070" s="41" t="s">
        <v>78</v>
      </c>
      <c r="Q1070" s="41"/>
      <c r="R1070" s="41"/>
    </row>
    <row r="1071">
      <c r="F1071" s="40"/>
      <c r="H1071" s="40"/>
      <c r="I1071" s="57"/>
      <c r="J1071" s="43"/>
      <c r="K1071" s="40"/>
      <c r="L1071" s="40"/>
      <c r="M1071" s="41"/>
      <c r="N1071" s="41"/>
      <c r="O1071" s="41" t="s">
        <v>78</v>
      </c>
      <c r="P1071" s="41" t="s">
        <v>78</v>
      </c>
      <c r="Q1071" s="41"/>
      <c r="R1071" s="41"/>
    </row>
    <row r="1072">
      <c r="F1072" s="40"/>
      <c r="H1072" s="40"/>
      <c r="I1072" s="57"/>
      <c r="J1072" s="43"/>
      <c r="K1072" s="40"/>
      <c r="L1072" s="40"/>
      <c r="M1072" s="41"/>
      <c r="N1072" s="41"/>
      <c r="O1072" s="41" t="s">
        <v>78</v>
      </c>
      <c r="P1072" s="41" t="s">
        <v>78</v>
      </c>
      <c r="Q1072" s="41"/>
      <c r="R1072" s="41"/>
    </row>
    <row r="1073">
      <c r="F1073" s="40"/>
      <c r="H1073" s="40"/>
      <c r="I1073" s="57"/>
      <c r="J1073" s="43"/>
      <c r="K1073" s="40"/>
      <c r="L1073" s="40"/>
      <c r="M1073" s="41"/>
      <c r="N1073" s="41"/>
      <c r="O1073" s="41" t="s">
        <v>78</v>
      </c>
      <c r="P1073" s="41" t="s">
        <v>78</v>
      </c>
      <c r="Q1073" s="41"/>
      <c r="R1073" s="41"/>
    </row>
    <row r="1074">
      <c r="F1074" s="40"/>
      <c r="H1074" s="40"/>
      <c r="I1074" s="57"/>
      <c r="J1074" s="43"/>
      <c r="K1074" s="40"/>
      <c r="L1074" s="40"/>
      <c r="M1074" s="41"/>
      <c r="N1074" s="41"/>
      <c r="O1074" s="41" t="s">
        <v>78</v>
      </c>
      <c r="P1074" s="41" t="s">
        <v>78</v>
      </c>
      <c r="Q1074" s="41"/>
      <c r="R1074" s="41"/>
    </row>
    <row r="1075">
      <c r="F1075" s="40"/>
      <c r="H1075" s="40"/>
      <c r="I1075" s="57"/>
      <c r="J1075" s="43"/>
      <c r="K1075" s="40"/>
      <c r="L1075" s="40"/>
      <c r="M1075" s="41"/>
      <c r="N1075" s="41"/>
      <c r="O1075" s="41" t="s">
        <v>78</v>
      </c>
      <c r="P1075" s="41" t="s">
        <v>78</v>
      </c>
      <c r="Q1075" s="41"/>
      <c r="R1075" s="41"/>
    </row>
    <row r="1076">
      <c r="F1076" s="40"/>
      <c r="H1076" s="40"/>
      <c r="I1076" s="57"/>
      <c r="J1076" s="43"/>
      <c r="K1076" s="40"/>
      <c r="L1076" s="40"/>
      <c r="M1076" s="41"/>
      <c r="N1076" s="41"/>
      <c r="O1076" s="41" t="s">
        <v>78</v>
      </c>
      <c r="P1076" s="41" t="s">
        <v>78</v>
      </c>
      <c r="Q1076" s="41"/>
      <c r="R1076" s="41"/>
    </row>
    <row r="1077">
      <c r="F1077" s="40"/>
      <c r="H1077" s="40"/>
      <c r="I1077" s="57"/>
      <c r="J1077" s="43"/>
      <c r="K1077" s="40"/>
      <c r="L1077" s="40"/>
      <c r="M1077" s="41"/>
      <c r="N1077" s="41"/>
      <c r="O1077" s="41" t="s">
        <v>78</v>
      </c>
      <c r="P1077" s="41" t="s">
        <v>78</v>
      </c>
      <c r="Q1077" s="41"/>
      <c r="R1077" s="41"/>
    </row>
    <row r="1078">
      <c r="F1078" s="40"/>
      <c r="H1078" s="40"/>
      <c r="I1078" s="57"/>
      <c r="J1078" s="43"/>
      <c r="K1078" s="40"/>
      <c r="L1078" s="40"/>
      <c r="M1078" s="41"/>
      <c r="N1078" s="41"/>
      <c r="O1078" s="41" t="s">
        <v>78</v>
      </c>
      <c r="P1078" s="41" t="s">
        <v>78</v>
      </c>
      <c r="Q1078" s="41"/>
      <c r="R1078" s="41"/>
    </row>
    <row r="1079">
      <c r="F1079" s="40"/>
      <c r="H1079" s="40"/>
      <c r="I1079" s="57"/>
      <c r="J1079" s="43"/>
      <c r="K1079" s="40"/>
      <c r="L1079" s="40"/>
      <c r="M1079" s="41"/>
      <c r="N1079" s="41"/>
      <c r="O1079" s="41" t="s">
        <v>78</v>
      </c>
      <c r="P1079" s="41" t="s">
        <v>78</v>
      </c>
      <c r="Q1079" s="41"/>
      <c r="R1079" s="41"/>
    </row>
    <row r="1080">
      <c r="F1080" s="40"/>
      <c r="H1080" s="40"/>
      <c r="I1080" s="57"/>
      <c r="J1080" s="43"/>
      <c r="K1080" s="40"/>
      <c r="L1080" s="40"/>
      <c r="M1080" s="41"/>
      <c r="N1080" s="41"/>
      <c r="O1080" s="41" t="s">
        <v>78</v>
      </c>
      <c r="P1080" s="41" t="s">
        <v>78</v>
      </c>
      <c r="Q1080" s="41"/>
      <c r="R1080" s="41"/>
    </row>
    <row r="1081">
      <c r="F1081" s="40"/>
      <c r="H1081" s="40"/>
      <c r="I1081" s="57"/>
      <c r="J1081" s="43"/>
      <c r="K1081" s="40"/>
      <c r="L1081" s="40"/>
      <c r="M1081" s="41"/>
      <c r="N1081" s="41"/>
      <c r="O1081" s="41" t="s">
        <v>78</v>
      </c>
      <c r="P1081" s="41" t="s">
        <v>78</v>
      </c>
      <c r="Q1081" s="41"/>
      <c r="R1081" s="41"/>
    </row>
    <row r="1082">
      <c r="F1082" s="40"/>
      <c r="H1082" s="40"/>
      <c r="I1082" s="57"/>
      <c r="J1082" s="43"/>
      <c r="K1082" s="40"/>
      <c r="L1082" s="40"/>
      <c r="M1082" s="41"/>
      <c r="N1082" s="41"/>
      <c r="O1082" s="41" t="s">
        <v>78</v>
      </c>
      <c r="P1082" s="41" t="s">
        <v>78</v>
      </c>
      <c r="Q1082" s="41"/>
      <c r="R1082" s="41"/>
    </row>
    <row r="1083">
      <c r="F1083" s="40"/>
      <c r="H1083" s="40"/>
      <c r="I1083" s="57"/>
      <c r="J1083" s="43"/>
      <c r="K1083" s="40"/>
      <c r="L1083" s="40"/>
      <c r="M1083" s="41"/>
      <c r="N1083" s="41"/>
      <c r="O1083" s="41" t="s">
        <v>78</v>
      </c>
      <c r="P1083" s="41" t="s">
        <v>78</v>
      </c>
      <c r="Q1083" s="41"/>
      <c r="R1083" s="41"/>
    </row>
    <row r="1084">
      <c r="F1084" s="40"/>
      <c r="H1084" s="40"/>
      <c r="I1084" s="57"/>
      <c r="J1084" s="43"/>
      <c r="K1084" s="40"/>
      <c r="L1084" s="40"/>
      <c r="M1084" s="41"/>
      <c r="N1084" s="41"/>
      <c r="O1084" s="41" t="s">
        <v>78</v>
      </c>
      <c r="P1084" s="41" t="s">
        <v>78</v>
      </c>
      <c r="Q1084" s="41"/>
      <c r="R1084" s="41"/>
    </row>
    <row r="1085">
      <c r="F1085" s="40"/>
      <c r="H1085" s="40"/>
      <c r="I1085" s="57"/>
      <c r="J1085" s="43"/>
      <c r="K1085" s="40"/>
      <c r="L1085" s="40"/>
      <c r="M1085" s="41"/>
      <c r="N1085" s="41"/>
      <c r="O1085" s="41" t="s">
        <v>78</v>
      </c>
      <c r="P1085" s="41" t="s">
        <v>78</v>
      </c>
      <c r="Q1085" s="41"/>
      <c r="R1085" s="41"/>
    </row>
    <row r="1086">
      <c r="F1086" s="40"/>
      <c r="H1086" s="40"/>
      <c r="I1086" s="57"/>
      <c r="J1086" s="43"/>
      <c r="K1086" s="40"/>
      <c r="L1086" s="40"/>
      <c r="M1086" s="41"/>
      <c r="N1086" s="41"/>
      <c r="O1086" s="41" t="s">
        <v>78</v>
      </c>
      <c r="P1086" s="41" t="s">
        <v>78</v>
      </c>
      <c r="Q1086" s="41"/>
      <c r="R1086" s="41"/>
    </row>
    <row r="1087">
      <c r="F1087" s="40"/>
      <c r="H1087" s="40"/>
      <c r="I1087" s="57"/>
      <c r="J1087" s="43"/>
      <c r="K1087" s="40"/>
      <c r="L1087" s="40"/>
      <c r="M1087" s="41"/>
      <c r="N1087" s="41"/>
      <c r="O1087" s="41" t="s">
        <v>78</v>
      </c>
      <c r="P1087" s="41" t="s">
        <v>78</v>
      </c>
      <c r="Q1087" s="41"/>
      <c r="R1087" s="41"/>
    </row>
    <row r="1088">
      <c r="F1088" s="40"/>
      <c r="H1088" s="40"/>
      <c r="I1088" s="57"/>
      <c r="J1088" s="43"/>
      <c r="K1088" s="40"/>
      <c r="L1088" s="40"/>
      <c r="M1088" s="41"/>
      <c r="N1088" s="41"/>
      <c r="O1088" s="41" t="s">
        <v>78</v>
      </c>
      <c r="P1088" s="41" t="s">
        <v>78</v>
      </c>
      <c r="Q1088" s="41"/>
      <c r="R1088" s="41"/>
    </row>
    <row r="1089">
      <c r="F1089" s="40"/>
      <c r="H1089" s="40"/>
      <c r="I1089" s="57"/>
      <c r="J1089" s="43"/>
      <c r="K1089" s="40"/>
      <c r="L1089" s="40"/>
      <c r="M1089" s="41"/>
      <c r="N1089" s="41"/>
      <c r="O1089" s="41" t="s">
        <v>78</v>
      </c>
      <c r="P1089" s="41" t="s">
        <v>78</v>
      </c>
      <c r="Q1089" s="41"/>
      <c r="R1089" s="41"/>
    </row>
    <row r="1090">
      <c r="F1090" s="40"/>
      <c r="H1090" s="40"/>
      <c r="I1090" s="57"/>
      <c r="J1090" s="43"/>
      <c r="K1090" s="40"/>
      <c r="L1090" s="40"/>
      <c r="M1090" s="41"/>
      <c r="N1090" s="41"/>
      <c r="O1090" s="41" t="s">
        <v>78</v>
      </c>
      <c r="P1090" s="41" t="s">
        <v>78</v>
      </c>
      <c r="Q1090" s="41"/>
      <c r="R1090" s="41"/>
    </row>
    <row r="1091">
      <c r="F1091" s="40"/>
      <c r="H1091" s="40"/>
      <c r="I1091" s="57"/>
      <c r="J1091" s="43"/>
      <c r="K1091" s="40"/>
      <c r="L1091" s="40"/>
      <c r="M1091" s="41"/>
      <c r="N1091" s="41"/>
      <c r="O1091" s="41" t="s">
        <v>78</v>
      </c>
      <c r="P1091" s="41" t="s">
        <v>78</v>
      </c>
      <c r="Q1091" s="41"/>
      <c r="R1091" s="41"/>
    </row>
    <row r="1092">
      <c r="F1092" s="40"/>
      <c r="H1092" s="40"/>
      <c r="I1092" s="57"/>
      <c r="J1092" s="43"/>
      <c r="K1092" s="40"/>
      <c r="L1092" s="40"/>
      <c r="M1092" s="41"/>
      <c r="N1092" s="41"/>
      <c r="O1092" s="41" t="s">
        <v>78</v>
      </c>
      <c r="P1092" s="41" t="s">
        <v>78</v>
      </c>
      <c r="Q1092" s="41"/>
      <c r="R1092" s="41"/>
    </row>
    <row r="1093">
      <c r="F1093" s="40"/>
      <c r="H1093" s="40"/>
      <c r="I1093" s="57"/>
      <c r="J1093" s="43"/>
      <c r="K1093" s="40"/>
      <c r="L1093" s="40"/>
      <c r="M1093" s="41"/>
      <c r="N1093" s="41"/>
      <c r="O1093" s="41" t="s">
        <v>78</v>
      </c>
      <c r="P1093" s="41" t="s">
        <v>78</v>
      </c>
      <c r="Q1093" s="41"/>
      <c r="R1093" s="41"/>
    </row>
    <row r="1094">
      <c r="F1094" s="40"/>
      <c r="H1094" s="40"/>
      <c r="I1094" s="57"/>
      <c r="J1094" s="43"/>
      <c r="K1094" s="40"/>
      <c r="L1094" s="40"/>
      <c r="M1094" s="41"/>
      <c r="N1094" s="41"/>
      <c r="O1094" s="41" t="s">
        <v>78</v>
      </c>
      <c r="P1094" s="41" t="s">
        <v>78</v>
      </c>
      <c r="Q1094" s="41"/>
      <c r="R1094" s="41"/>
    </row>
    <row r="1095">
      <c r="F1095" s="40"/>
      <c r="H1095" s="40"/>
      <c r="I1095" s="57"/>
      <c r="J1095" s="43"/>
      <c r="K1095" s="40"/>
      <c r="L1095" s="40"/>
      <c r="M1095" s="41"/>
      <c r="N1095" s="41"/>
      <c r="O1095" s="41" t="s">
        <v>78</v>
      </c>
      <c r="P1095" s="41" t="s">
        <v>78</v>
      </c>
      <c r="Q1095" s="41"/>
      <c r="R1095" s="41"/>
    </row>
    <row r="1096">
      <c r="F1096" s="40"/>
      <c r="H1096" s="40"/>
      <c r="I1096" s="57"/>
      <c r="J1096" s="43"/>
      <c r="K1096" s="40"/>
      <c r="L1096" s="40"/>
      <c r="M1096" s="41"/>
      <c r="N1096" s="41"/>
      <c r="O1096" s="41" t="s">
        <v>78</v>
      </c>
      <c r="P1096" s="41" t="s">
        <v>78</v>
      </c>
      <c r="Q1096" s="41"/>
      <c r="R1096" s="41"/>
    </row>
    <row r="1097">
      <c r="F1097" s="40"/>
      <c r="H1097" s="40"/>
      <c r="I1097" s="57"/>
      <c r="J1097" s="43"/>
      <c r="K1097" s="40"/>
      <c r="L1097" s="40"/>
      <c r="M1097" s="41"/>
      <c r="N1097" s="41"/>
      <c r="O1097" s="41" t="s">
        <v>78</v>
      </c>
      <c r="P1097" s="41" t="s">
        <v>78</v>
      </c>
      <c r="Q1097" s="41"/>
      <c r="R1097" s="41"/>
    </row>
    <row r="1098">
      <c r="F1098" s="40"/>
      <c r="H1098" s="40"/>
      <c r="I1098" s="57"/>
      <c r="J1098" s="43"/>
      <c r="K1098" s="40"/>
      <c r="L1098" s="40"/>
      <c r="M1098" s="41"/>
      <c r="N1098" s="41"/>
      <c r="O1098" s="41" t="s">
        <v>78</v>
      </c>
      <c r="P1098" s="41" t="s">
        <v>78</v>
      </c>
      <c r="Q1098" s="41"/>
      <c r="R1098" s="41"/>
    </row>
    <row r="1099">
      <c r="F1099" s="40"/>
      <c r="H1099" s="40"/>
      <c r="I1099" s="57"/>
      <c r="J1099" s="43"/>
      <c r="K1099" s="40"/>
      <c r="L1099" s="40"/>
      <c r="M1099" s="41"/>
      <c r="N1099" s="41"/>
      <c r="O1099" s="41" t="s">
        <v>78</v>
      </c>
      <c r="P1099" s="41" t="s">
        <v>78</v>
      </c>
      <c r="Q1099" s="41"/>
      <c r="R1099" s="41"/>
    </row>
    <row r="1100">
      <c r="F1100" s="40"/>
      <c r="H1100" s="40"/>
      <c r="I1100" s="57"/>
      <c r="J1100" s="43"/>
      <c r="K1100" s="40"/>
      <c r="L1100" s="40"/>
      <c r="M1100" s="41"/>
      <c r="N1100" s="41"/>
      <c r="O1100" s="41" t="s">
        <v>78</v>
      </c>
      <c r="P1100" s="41" t="s">
        <v>78</v>
      </c>
      <c r="Q1100" s="41"/>
      <c r="R1100" s="41"/>
    </row>
    <row r="1101">
      <c r="F1101" s="40"/>
      <c r="H1101" s="40"/>
      <c r="I1101" s="57"/>
      <c r="J1101" s="43"/>
      <c r="K1101" s="40"/>
      <c r="L1101" s="40"/>
      <c r="M1101" s="41"/>
      <c r="N1101" s="41"/>
      <c r="O1101" s="41" t="s">
        <v>78</v>
      </c>
      <c r="P1101" s="41" t="s">
        <v>78</v>
      </c>
      <c r="Q1101" s="41"/>
      <c r="R1101" s="41"/>
    </row>
    <row r="1102">
      <c r="F1102" s="40"/>
      <c r="H1102" s="40"/>
      <c r="I1102" s="57"/>
      <c r="J1102" s="43"/>
      <c r="K1102" s="40"/>
      <c r="L1102" s="40"/>
      <c r="M1102" s="41"/>
      <c r="N1102" s="41"/>
      <c r="O1102" s="41" t="s">
        <v>78</v>
      </c>
      <c r="P1102" s="41" t="s">
        <v>78</v>
      </c>
      <c r="Q1102" s="41"/>
      <c r="R1102" s="41"/>
    </row>
    <row r="1103">
      <c r="F1103" s="40"/>
      <c r="H1103" s="40"/>
      <c r="I1103" s="57"/>
      <c r="J1103" s="43"/>
      <c r="K1103" s="40"/>
      <c r="L1103" s="40"/>
      <c r="M1103" s="41"/>
      <c r="N1103" s="41"/>
      <c r="O1103" s="41" t="s">
        <v>78</v>
      </c>
      <c r="P1103" s="41" t="s">
        <v>78</v>
      </c>
      <c r="Q1103" s="41"/>
      <c r="R1103" s="41"/>
    </row>
    <row r="1104">
      <c r="F1104" s="40"/>
      <c r="H1104" s="40"/>
      <c r="I1104" s="57"/>
      <c r="J1104" s="43"/>
      <c r="K1104" s="40"/>
      <c r="L1104" s="40"/>
      <c r="M1104" s="41"/>
      <c r="N1104" s="41"/>
      <c r="O1104" s="41" t="s">
        <v>78</v>
      </c>
      <c r="P1104" s="41" t="s">
        <v>78</v>
      </c>
      <c r="Q1104" s="41"/>
      <c r="R1104" s="41"/>
    </row>
    <row r="1105">
      <c r="F1105" s="40"/>
      <c r="H1105" s="40"/>
      <c r="I1105" s="57"/>
      <c r="J1105" s="43"/>
      <c r="K1105" s="40"/>
      <c r="L1105" s="40"/>
      <c r="M1105" s="41"/>
      <c r="N1105" s="41"/>
      <c r="O1105" s="41" t="s">
        <v>78</v>
      </c>
      <c r="P1105" s="41" t="s">
        <v>78</v>
      </c>
      <c r="Q1105" s="41"/>
      <c r="R1105" s="41"/>
    </row>
    <row r="1106">
      <c r="F1106" s="40"/>
      <c r="H1106" s="40"/>
      <c r="I1106" s="57"/>
      <c r="J1106" s="43"/>
      <c r="K1106" s="40"/>
      <c r="L1106" s="40"/>
      <c r="M1106" s="41"/>
      <c r="N1106" s="41"/>
      <c r="O1106" s="41" t="s">
        <v>78</v>
      </c>
      <c r="P1106" s="41" t="s">
        <v>78</v>
      </c>
      <c r="Q1106" s="41"/>
      <c r="R1106" s="41"/>
    </row>
    <row r="1107">
      <c r="F1107" s="40"/>
      <c r="H1107" s="40"/>
      <c r="I1107" s="57"/>
      <c r="J1107" s="43"/>
      <c r="K1107" s="40"/>
      <c r="L1107" s="40"/>
      <c r="M1107" s="41"/>
      <c r="N1107" s="41"/>
      <c r="O1107" s="41" t="s">
        <v>78</v>
      </c>
      <c r="P1107" s="41" t="s">
        <v>78</v>
      </c>
      <c r="Q1107" s="41"/>
      <c r="R1107" s="41"/>
    </row>
    <row r="1108">
      <c r="F1108" s="40"/>
      <c r="H1108" s="40"/>
      <c r="I1108" s="57"/>
      <c r="J1108" s="43"/>
      <c r="K1108" s="40"/>
      <c r="L1108" s="40"/>
      <c r="M1108" s="41"/>
      <c r="N1108" s="41"/>
      <c r="O1108" s="41" t="s">
        <v>78</v>
      </c>
      <c r="P1108" s="41" t="s">
        <v>78</v>
      </c>
      <c r="Q1108" s="41"/>
      <c r="R1108" s="41"/>
    </row>
    <row r="1109">
      <c r="F1109" s="40"/>
      <c r="H1109" s="40"/>
      <c r="I1109" s="57"/>
      <c r="J1109" s="43"/>
      <c r="K1109" s="40"/>
      <c r="L1109" s="40"/>
      <c r="M1109" s="41"/>
      <c r="N1109" s="41"/>
      <c r="O1109" s="41" t="s">
        <v>78</v>
      </c>
      <c r="P1109" s="41" t="s">
        <v>78</v>
      </c>
      <c r="Q1109" s="41"/>
      <c r="R1109" s="41"/>
    </row>
    <row r="1110">
      <c r="F1110" s="40"/>
      <c r="H1110" s="40"/>
      <c r="I1110" s="57"/>
      <c r="J1110" s="43"/>
      <c r="K1110" s="40"/>
      <c r="L1110" s="40"/>
      <c r="M1110" s="41"/>
      <c r="N1110" s="41"/>
      <c r="O1110" s="41" t="s">
        <v>78</v>
      </c>
      <c r="P1110" s="41" t="s">
        <v>78</v>
      </c>
      <c r="Q1110" s="41"/>
      <c r="R1110" s="41"/>
    </row>
    <row r="1111">
      <c r="F1111" s="40"/>
      <c r="H1111" s="40"/>
      <c r="I1111" s="57"/>
      <c r="J1111" s="43"/>
      <c r="K1111" s="40"/>
      <c r="L1111" s="40"/>
      <c r="M1111" s="41"/>
      <c r="N1111" s="41"/>
      <c r="O1111" s="41" t="s">
        <v>78</v>
      </c>
      <c r="P1111" s="41" t="s">
        <v>78</v>
      </c>
      <c r="Q1111" s="41"/>
      <c r="R1111" s="41"/>
    </row>
    <row r="1112">
      <c r="F1112" s="40"/>
      <c r="H1112" s="40"/>
      <c r="I1112" s="57"/>
      <c r="J1112" s="43"/>
      <c r="K1112" s="40"/>
      <c r="L1112" s="40"/>
      <c r="M1112" s="41"/>
      <c r="N1112" s="41"/>
      <c r="O1112" s="41" t="s">
        <v>78</v>
      </c>
      <c r="P1112" s="41" t="s">
        <v>78</v>
      </c>
      <c r="Q1112" s="41"/>
      <c r="R1112" s="41"/>
    </row>
    <row r="1113">
      <c r="F1113" s="40"/>
      <c r="H1113" s="40"/>
      <c r="I1113" s="57"/>
      <c r="J1113" s="43"/>
      <c r="K1113" s="40"/>
      <c r="L1113" s="40"/>
      <c r="M1113" s="41"/>
      <c r="N1113" s="41"/>
      <c r="O1113" s="41" t="s">
        <v>78</v>
      </c>
      <c r="P1113" s="41" t="s">
        <v>78</v>
      </c>
      <c r="Q1113" s="41"/>
      <c r="R1113" s="41"/>
    </row>
    <row r="1114">
      <c r="F1114" s="40"/>
      <c r="H1114" s="40"/>
      <c r="I1114" s="57"/>
      <c r="J1114" s="43"/>
      <c r="K1114" s="40"/>
      <c r="L1114" s="40"/>
      <c r="M1114" s="41"/>
      <c r="N1114" s="41"/>
      <c r="O1114" s="41" t="s">
        <v>78</v>
      </c>
      <c r="P1114" s="41" t="s">
        <v>78</v>
      </c>
      <c r="Q1114" s="41"/>
      <c r="R1114" s="41"/>
    </row>
    <row r="1115">
      <c r="F1115" s="40"/>
      <c r="H1115" s="40"/>
      <c r="I1115" s="57"/>
      <c r="J1115" s="43"/>
      <c r="K1115" s="40"/>
      <c r="L1115" s="40"/>
      <c r="M1115" s="41"/>
      <c r="N1115" s="41"/>
      <c r="O1115" s="41" t="s">
        <v>78</v>
      </c>
      <c r="P1115" s="41" t="s">
        <v>78</v>
      </c>
      <c r="Q1115" s="41"/>
      <c r="R1115" s="41"/>
    </row>
    <row r="1116">
      <c r="F1116" s="40"/>
      <c r="H1116" s="40"/>
      <c r="I1116" s="57"/>
      <c r="J1116" s="43"/>
      <c r="K1116" s="40"/>
      <c r="L1116" s="40"/>
      <c r="M1116" s="41"/>
      <c r="N1116" s="41"/>
      <c r="O1116" s="41" t="s">
        <v>78</v>
      </c>
      <c r="P1116" s="41" t="s">
        <v>78</v>
      </c>
      <c r="Q1116" s="41"/>
      <c r="R1116" s="41"/>
    </row>
    <row r="1117">
      <c r="F1117" s="40"/>
      <c r="H1117" s="40"/>
      <c r="I1117" s="57"/>
      <c r="J1117" s="43"/>
      <c r="K1117" s="40"/>
      <c r="L1117" s="40"/>
      <c r="M1117" s="41"/>
      <c r="N1117" s="41"/>
      <c r="O1117" s="41" t="s">
        <v>78</v>
      </c>
      <c r="P1117" s="41" t="s">
        <v>78</v>
      </c>
      <c r="Q1117" s="41"/>
      <c r="R1117" s="41"/>
    </row>
    <row r="1118">
      <c r="F1118" s="40"/>
      <c r="H1118" s="40"/>
      <c r="I1118" s="57"/>
      <c r="J1118" s="43"/>
      <c r="K1118" s="40"/>
      <c r="L1118" s="40"/>
      <c r="M1118" s="41"/>
      <c r="N1118" s="41"/>
      <c r="O1118" s="41" t="s">
        <v>78</v>
      </c>
      <c r="P1118" s="41" t="s">
        <v>78</v>
      </c>
      <c r="Q1118" s="41"/>
      <c r="R1118" s="41"/>
    </row>
    <row r="1119">
      <c r="F1119" s="40"/>
      <c r="H1119" s="40"/>
      <c r="I1119" s="57"/>
      <c r="J1119" s="43"/>
      <c r="K1119" s="40"/>
      <c r="L1119" s="40"/>
      <c r="M1119" s="41"/>
      <c r="N1119" s="41"/>
      <c r="O1119" s="41" t="s">
        <v>78</v>
      </c>
      <c r="P1119" s="41" t="s">
        <v>78</v>
      </c>
      <c r="Q1119" s="41"/>
      <c r="R1119" s="41"/>
    </row>
    <row r="1120">
      <c r="F1120" s="40"/>
      <c r="H1120" s="40"/>
      <c r="I1120" s="57"/>
      <c r="J1120" s="43"/>
      <c r="K1120" s="40"/>
      <c r="L1120" s="40"/>
      <c r="M1120" s="41"/>
      <c r="N1120" s="41"/>
      <c r="O1120" s="41" t="s">
        <v>78</v>
      </c>
      <c r="P1120" s="41" t="s">
        <v>78</v>
      </c>
      <c r="Q1120" s="41"/>
      <c r="R1120" s="41"/>
    </row>
    <row r="1121">
      <c r="F1121" s="40"/>
      <c r="H1121" s="40"/>
      <c r="I1121" s="57"/>
      <c r="J1121" s="43"/>
      <c r="K1121" s="40"/>
      <c r="L1121" s="40"/>
      <c r="M1121" s="41"/>
      <c r="N1121" s="41"/>
      <c r="O1121" s="41" t="s">
        <v>78</v>
      </c>
      <c r="P1121" s="41" t="s">
        <v>78</v>
      </c>
      <c r="Q1121" s="41"/>
      <c r="R1121" s="41"/>
    </row>
    <row r="1122">
      <c r="F1122" s="40"/>
      <c r="H1122" s="40"/>
      <c r="I1122" s="57"/>
      <c r="J1122" s="43"/>
      <c r="K1122" s="40"/>
      <c r="L1122" s="40"/>
      <c r="M1122" s="41"/>
      <c r="N1122" s="41"/>
      <c r="O1122" s="41" t="s">
        <v>78</v>
      </c>
      <c r="P1122" s="41" t="s">
        <v>78</v>
      </c>
      <c r="Q1122" s="41"/>
      <c r="R1122" s="41"/>
    </row>
    <row r="1123">
      <c r="F1123" s="40"/>
      <c r="H1123" s="40"/>
      <c r="I1123" s="57"/>
      <c r="J1123" s="43"/>
      <c r="K1123" s="40"/>
      <c r="L1123" s="40"/>
      <c r="M1123" s="41"/>
      <c r="N1123" s="41"/>
      <c r="O1123" s="41" t="s">
        <v>78</v>
      </c>
      <c r="P1123" s="41" t="s">
        <v>78</v>
      </c>
      <c r="Q1123" s="41"/>
      <c r="R1123" s="41"/>
    </row>
    <row r="1124">
      <c r="F1124" s="40"/>
      <c r="H1124" s="40"/>
      <c r="I1124" s="57"/>
      <c r="J1124" s="43"/>
      <c r="K1124" s="40"/>
      <c r="L1124" s="40"/>
      <c r="M1124" s="41"/>
      <c r="N1124" s="41"/>
      <c r="O1124" s="41" t="s">
        <v>78</v>
      </c>
      <c r="P1124" s="41" t="s">
        <v>78</v>
      </c>
      <c r="Q1124" s="41"/>
      <c r="R1124" s="41"/>
    </row>
    <row r="1125">
      <c r="F1125" s="40"/>
      <c r="H1125" s="40"/>
      <c r="I1125" s="57"/>
      <c r="J1125" s="43"/>
      <c r="K1125" s="40"/>
      <c r="L1125" s="40"/>
      <c r="M1125" s="41"/>
      <c r="N1125" s="41"/>
      <c r="O1125" s="41" t="s">
        <v>78</v>
      </c>
      <c r="P1125" s="41" t="s">
        <v>78</v>
      </c>
      <c r="Q1125" s="41"/>
      <c r="R1125" s="41"/>
    </row>
    <row r="1126">
      <c r="F1126" s="40"/>
      <c r="H1126" s="40"/>
      <c r="I1126" s="57"/>
      <c r="J1126" s="43"/>
      <c r="K1126" s="40"/>
      <c r="L1126" s="40"/>
      <c r="M1126" s="41"/>
      <c r="N1126" s="41"/>
      <c r="O1126" s="41" t="s">
        <v>78</v>
      </c>
      <c r="P1126" s="41" t="s">
        <v>78</v>
      </c>
      <c r="Q1126" s="41"/>
      <c r="R1126" s="41"/>
    </row>
    <row r="1127">
      <c r="F1127" s="40"/>
      <c r="H1127" s="40"/>
      <c r="I1127" s="57"/>
      <c r="J1127" s="43"/>
      <c r="K1127" s="40"/>
      <c r="L1127" s="40"/>
      <c r="M1127" s="41"/>
      <c r="N1127" s="41"/>
      <c r="O1127" s="41" t="s">
        <v>78</v>
      </c>
      <c r="P1127" s="41" t="s">
        <v>78</v>
      </c>
      <c r="Q1127" s="41"/>
      <c r="R1127" s="41"/>
    </row>
    <row r="1128">
      <c r="F1128" s="40"/>
      <c r="H1128" s="40"/>
      <c r="I1128" s="57"/>
      <c r="J1128" s="43"/>
      <c r="K1128" s="40"/>
      <c r="L1128" s="40"/>
      <c r="M1128" s="41"/>
      <c r="N1128" s="41"/>
      <c r="O1128" s="41" t="s">
        <v>78</v>
      </c>
      <c r="P1128" s="41" t="s">
        <v>78</v>
      </c>
      <c r="Q1128" s="41"/>
      <c r="R1128" s="41"/>
    </row>
    <row r="1129">
      <c r="F1129" s="40"/>
      <c r="H1129" s="40"/>
      <c r="I1129" s="57"/>
      <c r="J1129" s="43"/>
      <c r="K1129" s="40"/>
      <c r="L1129" s="40"/>
      <c r="M1129" s="41"/>
      <c r="N1129" s="41"/>
      <c r="O1129" s="41" t="s">
        <v>78</v>
      </c>
      <c r="P1129" s="41" t="s">
        <v>78</v>
      </c>
      <c r="Q1129" s="41"/>
      <c r="R1129" s="41"/>
    </row>
    <row r="1130">
      <c r="F1130" s="40"/>
      <c r="H1130" s="40"/>
      <c r="I1130" s="57"/>
      <c r="J1130" s="43"/>
      <c r="K1130" s="40"/>
      <c r="L1130" s="40"/>
      <c r="M1130" s="41"/>
      <c r="N1130" s="41"/>
      <c r="O1130" s="41" t="s">
        <v>78</v>
      </c>
      <c r="P1130" s="41" t="s">
        <v>78</v>
      </c>
      <c r="Q1130" s="41"/>
      <c r="R1130" s="41"/>
    </row>
    <row r="1131">
      <c r="F1131" s="40"/>
      <c r="H1131" s="40"/>
      <c r="I1131" s="57"/>
      <c r="J1131" s="43"/>
      <c r="K1131" s="40"/>
      <c r="L1131" s="40"/>
      <c r="M1131" s="41"/>
      <c r="N1131" s="41"/>
      <c r="O1131" s="41" t="s">
        <v>78</v>
      </c>
      <c r="P1131" s="41" t="s">
        <v>78</v>
      </c>
      <c r="Q1131" s="41"/>
      <c r="R1131" s="41"/>
    </row>
  </sheetData>
  <drawing r:id="rId2"/>
  <legacy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13"/>
    <col customWidth="1" min="3" max="3" width="21.5"/>
    <col customWidth="1" min="4" max="4" width="19.38"/>
    <col customWidth="1" min="5" max="5" width="21.5"/>
    <col customWidth="1" min="6" max="6" width="19.38"/>
    <col customWidth="1" min="7" max="7" width="21.5"/>
  </cols>
  <sheetData>
    <row r="1" ht="22.5" customHeight="1">
      <c r="A1" s="1" t="s">
        <v>126</v>
      </c>
      <c r="B1" s="1" t="s">
        <v>149</v>
      </c>
      <c r="C1" s="58" t="s">
        <v>150</v>
      </c>
      <c r="D1" s="58" t="s">
        <v>151</v>
      </c>
      <c r="E1" s="58" t="s">
        <v>152</v>
      </c>
      <c r="F1" s="58" t="s">
        <v>153</v>
      </c>
      <c r="G1" s="58" t="s">
        <v>154</v>
      </c>
    </row>
    <row r="2" ht="22.5" customHeight="1">
      <c r="A2" s="3" t="s">
        <v>142</v>
      </c>
      <c r="B2" s="3">
        <v>1.0</v>
      </c>
      <c r="C2" s="59">
        <v>0.56</v>
      </c>
      <c r="D2" s="60">
        <f t="shared" ref="D2:D3" si="1">32/12</f>
        <v>2.666666667</v>
      </c>
      <c r="E2" s="28">
        <v>0.44</v>
      </c>
      <c r="F2" s="32">
        <f t="shared" ref="F2:F3" si="2">48/12</f>
        <v>4</v>
      </c>
      <c r="G2" s="28">
        <v>0.36</v>
      </c>
    </row>
    <row r="3" ht="22.5" customHeight="1">
      <c r="A3" s="3" t="s">
        <v>146</v>
      </c>
      <c r="B3" s="3">
        <v>1.0</v>
      </c>
      <c r="C3" s="59">
        <v>0.75</v>
      </c>
      <c r="D3" s="60">
        <f t="shared" si="1"/>
        <v>2.666666667</v>
      </c>
      <c r="E3" s="28">
        <f> C3 * ( E2 / C2 )
</f>
        <v>0.5892857143</v>
      </c>
      <c r="F3" s="32">
        <f t="shared" si="2"/>
        <v>4</v>
      </c>
      <c r="G3" s="28">
        <f> C3 * ( G2 / C2 )
</f>
        <v>0.4821428571</v>
      </c>
    </row>
  </sheetData>
  <dataValidations>
    <dataValidation type="custom" allowBlank="1" showDropDown="1" sqref="D2:D3 F2:F3">
      <formula1>AND(ISNUMBER(D2),(NOT(OR(NOT(ISERROR(DATEVALUE(D2))), AND(ISNUMBER(D2), LEFT(CELL("format", D2))="D")))))</formula1>
    </dataValidation>
  </dataValidations>
  <drawing r:id="rId2"/>
  <legacyDrawing r:id="rId3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4" width="19.13"/>
  </cols>
  <sheetData>
    <row r="1">
      <c r="A1" s="61" t="s">
        <v>155</v>
      </c>
      <c r="B1" s="61" t="s">
        <v>156</v>
      </c>
      <c r="C1" s="61" t="s">
        <v>157</v>
      </c>
      <c r="D1" s="61" t="s">
        <v>158</v>
      </c>
    </row>
    <row r="2">
      <c r="A2" s="61" t="s">
        <v>159</v>
      </c>
      <c r="B2" s="62">
        <f>1-0.1</f>
        <v>0.9</v>
      </c>
      <c r="C2" s="62">
        <f>1-0.12</f>
        <v>0.88</v>
      </c>
      <c r="D2" s="62">
        <f>C2*0.81</f>
        <v>0.7128</v>
      </c>
    </row>
    <row r="3">
      <c r="A3" s="61" t="s">
        <v>160</v>
      </c>
      <c r="B3" s="44">
        <f t="shared" ref="B3:D3" si="1">(B2+B4)/2</f>
        <v>0.73</v>
      </c>
      <c r="C3" s="44">
        <f t="shared" si="1"/>
        <v>0.61</v>
      </c>
      <c r="D3" s="44">
        <f t="shared" si="1"/>
        <v>0.3944</v>
      </c>
    </row>
    <row r="4">
      <c r="A4" s="61" t="s">
        <v>161</v>
      </c>
      <c r="B4" s="62">
        <v>0.56</v>
      </c>
      <c r="C4" s="62">
        <v>0.34</v>
      </c>
      <c r="D4" s="62">
        <v>0.076</v>
      </c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0"/>
  </cols>
  <sheetData>
    <row r="1" ht="22.5" customHeight="1">
      <c r="A1" s="1" t="s">
        <v>126</v>
      </c>
      <c r="B1" s="1" t="s">
        <v>162</v>
      </c>
    </row>
    <row r="2" ht="22.5" customHeight="1">
      <c r="A2" s="3" t="s">
        <v>142</v>
      </c>
      <c r="B2" s="3">
        <v>9.81</v>
      </c>
    </row>
    <row r="3" ht="22.5" customHeight="1">
      <c r="A3" s="3" t="s">
        <v>146</v>
      </c>
      <c r="B3" s="3">
        <v>2.99</v>
      </c>
    </row>
  </sheetData>
  <drawing r:id="rId2"/>
  <legacyDrawing r:id="rId3"/>
  <tableParts count="1">
    <tablePart r:id="rId5"/>
  </tableParts>
</worksheet>
</file>