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79008644657/WOPIServiceId_TP_BOX_2/WOPIUserId_-/"/>
    </mc:Choice>
  </mc:AlternateContent>
  <xr:revisionPtr revIDLastSave="0" documentId="8_{E35BE427-B755-4071-85BD-55EA2F372C36}" xr6:coauthVersionLast="47" xr6:coauthVersionMax="47" xr10:uidLastSave="{00000000-0000-0000-0000-000000000000}"/>
  <bookViews>
    <workbookView xWindow="-108" yWindow="-108" windowWidth="23256" windowHeight="14616" xr2:uid="{581D588D-92B6-41E5-8C8E-E8E3AC9D0310}"/>
  </bookViews>
  <sheets>
    <sheet name="Summary" sheetId="7" r:id="rId1"/>
    <sheet name="Master Data" sheetId="2" r:id="rId2"/>
    <sheet name="Price Assumptions" sheetId="6" r:id="rId3"/>
  </sheets>
  <definedNames>
    <definedName name="_xlnm._FilterDatabase" localSheetId="1" hidden="1">'Master Data'!$C$4:$W$366</definedName>
    <definedName name="_xlnm._FilterDatabase" localSheetId="2" hidden="1">'Price Assumptions'!#REF!</definedName>
  </definedNames>
  <calcPr calcId="191029"/>
  <pivotCaches>
    <pivotCache cacheId="7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" l="1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T12" i="2" s="1"/>
  <c r="S13" i="2"/>
  <c r="T13" i="2" s="1"/>
  <c r="S14" i="2"/>
  <c r="T14" i="2" s="1"/>
  <c r="S15" i="2"/>
  <c r="T15" i="2" s="1"/>
  <c r="S16" i="2"/>
  <c r="T16" i="2" s="1"/>
  <c r="S17" i="2"/>
  <c r="T17" i="2" s="1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T31" i="2" s="1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53" i="2"/>
  <c r="T53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T60" i="2" s="1"/>
  <c r="S61" i="2"/>
  <c r="T61" i="2" s="1"/>
  <c r="S62" i="2"/>
  <c r="T62" i="2" s="1"/>
  <c r="S63" i="2"/>
  <c r="T63" i="2" s="1"/>
  <c r="S64" i="2"/>
  <c r="T64" i="2" s="1"/>
  <c r="S65" i="2"/>
  <c r="T65" i="2" s="1"/>
  <c r="S66" i="2"/>
  <c r="T66" i="2" s="1"/>
  <c r="S67" i="2"/>
  <c r="T67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S75" i="2"/>
  <c r="T75" i="2" s="1"/>
  <c r="S76" i="2"/>
  <c r="T76" i="2" s="1"/>
  <c r="S77" i="2"/>
  <c r="T77" i="2" s="1"/>
  <c r="S78" i="2"/>
  <c r="T78" i="2" s="1"/>
  <c r="S79" i="2"/>
  <c r="T79" i="2" s="1"/>
  <c r="S80" i="2"/>
  <c r="T80" i="2" s="1"/>
  <c r="S81" i="2"/>
  <c r="T81" i="2" s="1"/>
  <c r="S82" i="2"/>
  <c r="T82" i="2" s="1"/>
  <c r="S84" i="2"/>
  <c r="T84" i="2" s="1"/>
  <c r="S85" i="2"/>
  <c r="T85" i="2" s="1"/>
  <c r="S86" i="2"/>
  <c r="T86" i="2" s="1"/>
  <c r="S87" i="2"/>
  <c r="T87" i="2" s="1"/>
  <c r="S88" i="2"/>
  <c r="T88" i="2" s="1"/>
  <c r="S90" i="2"/>
  <c r="T90" i="2" s="1"/>
  <c r="S91" i="2"/>
  <c r="T91" i="2" s="1"/>
  <c r="S92" i="2"/>
  <c r="T92" i="2" s="1"/>
  <c r="S93" i="2"/>
  <c r="T93" i="2" s="1"/>
  <c r="S94" i="2"/>
  <c r="T94" i="2" s="1"/>
  <c r="S95" i="2"/>
  <c r="T95" i="2" s="1"/>
  <c r="S96" i="2"/>
  <c r="T96" i="2" s="1"/>
  <c r="S97" i="2"/>
  <c r="T97" i="2" s="1"/>
  <c r="S99" i="2"/>
  <c r="T99" i="2" s="1"/>
  <c r="S100" i="2"/>
  <c r="T100" i="2" s="1"/>
  <c r="S101" i="2"/>
  <c r="T101" i="2" s="1"/>
  <c r="S102" i="2"/>
  <c r="T102" i="2" s="1"/>
  <c r="S103" i="2"/>
  <c r="T103" i="2" s="1"/>
  <c r="S105" i="2"/>
  <c r="T105" i="2" s="1"/>
  <c r="S106" i="2"/>
  <c r="T106" i="2" s="1"/>
  <c r="S107" i="2"/>
  <c r="T107" i="2" s="1"/>
  <c r="S108" i="2"/>
  <c r="T108" i="2" s="1"/>
  <c r="S109" i="2"/>
  <c r="T109" i="2" s="1"/>
  <c r="S110" i="2"/>
  <c r="T110" i="2" s="1"/>
  <c r="S111" i="2"/>
  <c r="T111" i="2" s="1"/>
  <c r="S113" i="2"/>
  <c r="T113" i="2" s="1"/>
  <c r="S114" i="2"/>
  <c r="T114" i="2" s="1"/>
  <c r="S115" i="2"/>
  <c r="T115" i="2" s="1"/>
  <c r="S116" i="2"/>
  <c r="T116" i="2" s="1"/>
  <c r="S117" i="2"/>
  <c r="T117" i="2" s="1"/>
  <c r="S119" i="2"/>
  <c r="T119" i="2" s="1"/>
  <c r="S120" i="2"/>
  <c r="T120" i="2" s="1"/>
  <c r="S121" i="2"/>
  <c r="T121" i="2" s="1"/>
  <c r="S122" i="2"/>
  <c r="T122" i="2" s="1"/>
  <c r="S123" i="2"/>
  <c r="T123" i="2" s="1"/>
  <c r="S124" i="2"/>
  <c r="T124" i="2" s="1"/>
  <c r="S125" i="2"/>
  <c r="T125" i="2" s="1"/>
  <c r="S127" i="2"/>
  <c r="T127" i="2" s="1"/>
  <c r="S128" i="2"/>
  <c r="T128" i="2" s="1"/>
  <c r="S129" i="2"/>
  <c r="T129" i="2" s="1"/>
  <c r="S130" i="2"/>
  <c r="T130" i="2"/>
  <c r="S131" i="2"/>
  <c r="T131" i="2" s="1"/>
  <c r="S133" i="2"/>
  <c r="T133" i="2" s="1"/>
  <c r="S134" i="2"/>
  <c r="T134" i="2" s="1"/>
  <c r="S135" i="2"/>
  <c r="T135" i="2" s="1"/>
  <c r="S136" i="2"/>
  <c r="T136" i="2"/>
  <c r="S137" i="2"/>
  <c r="T137" i="2" s="1"/>
  <c r="S138" i="2"/>
  <c r="T138" i="2" s="1"/>
  <c r="S139" i="2"/>
  <c r="T139" i="2" s="1"/>
  <c r="S141" i="2"/>
  <c r="T141" i="2" s="1"/>
  <c r="S142" i="2"/>
  <c r="T142" i="2" s="1"/>
  <c r="S143" i="2"/>
  <c r="T143" i="2" s="1"/>
  <c r="S144" i="2"/>
  <c r="T144" i="2" s="1"/>
  <c r="S145" i="2"/>
  <c r="T145" i="2" s="1"/>
  <c r="S147" i="2"/>
  <c r="T147" i="2" s="1"/>
  <c r="S148" i="2"/>
  <c r="T148" i="2" s="1"/>
  <c r="S149" i="2"/>
  <c r="T149" i="2"/>
  <c r="S150" i="2"/>
  <c r="T150" i="2" s="1"/>
  <c r="S151" i="2"/>
  <c r="T151" i="2" s="1"/>
  <c r="S152" i="2"/>
  <c r="T152" i="2" s="1"/>
  <c r="S153" i="2"/>
  <c r="T153" i="2" s="1"/>
  <c r="S155" i="2"/>
  <c r="T155" i="2" s="1"/>
  <c r="S156" i="2"/>
  <c r="T156" i="2" s="1"/>
  <c r="S157" i="2"/>
  <c r="T157" i="2" s="1"/>
  <c r="S158" i="2"/>
  <c r="T158" i="2" s="1"/>
  <c r="S159" i="2"/>
  <c r="T159" i="2" s="1"/>
  <c r="S161" i="2"/>
  <c r="T161" i="2" s="1"/>
  <c r="S162" i="2"/>
  <c r="T162" i="2" s="1"/>
  <c r="S163" i="2"/>
  <c r="T163" i="2" s="1"/>
  <c r="S164" i="2"/>
  <c r="T164" i="2"/>
  <c r="S165" i="2"/>
  <c r="T165" i="2" s="1"/>
  <c r="S166" i="2"/>
  <c r="T166" i="2" s="1"/>
  <c r="S167" i="2"/>
  <c r="T167" i="2" s="1"/>
  <c r="S169" i="2"/>
  <c r="T169" i="2" s="1"/>
  <c r="S170" i="2"/>
  <c r="T170" i="2" s="1"/>
  <c r="S171" i="2"/>
  <c r="T171" i="2" s="1"/>
  <c r="S172" i="2"/>
  <c r="T172" i="2"/>
  <c r="S173" i="2"/>
  <c r="T173" i="2" s="1"/>
  <c r="S175" i="2"/>
  <c r="T175" i="2" s="1"/>
  <c r="S176" i="2"/>
  <c r="T176" i="2" s="1"/>
  <c r="S177" i="2"/>
  <c r="T177" i="2" s="1"/>
  <c r="S178" i="2"/>
  <c r="T178" i="2" s="1"/>
  <c r="S179" i="2"/>
  <c r="T179" i="2" s="1"/>
  <c r="S180" i="2"/>
  <c r="T180" i="2" s="1"/>
  <c r="S181" i="2"/>
  <c r="T181" i="2" s="1"/>
  <c r="S182" i="2"/>
  <c r="T182" i="2" s="1"/>
  <c r="S183" i="2"/>
  <c r="T183" i="2" s="1"/>
  <c r="S184" i="2"/>
  <c r="T184" i="2"/>
  <c r="S185" i="2"/>
  <c r="T185" i="2" s="1"/>
  <c r="S186" i="2"/>
  <c r="T186" i="2" s="1"/>
  <c r="S187" i="2"/>
  <c r="T187" i="2" s="1"/>
  <c r="S188" i="2"/>
  <c r="T188" i="2" s="1"/>
  <c r="S189" i="2"/>
  <c r="T189" i="2"/>
  <c r="S190" i="2"/>
  <c r="T190" i="2"/>
  <c r="S191" i="2"/>
  <c r="T191" i="2" s="1"/>
  <c r="S192" i="2"/>
  <c r="T192" i="2"/>
  <c r="S193" i="2"/>
  <c r="T193" i="2"/>
  <c r="S194" i="2"/>
  <c r="T194" i="2" s="1"/>
  <c r="S195" i="2"/>
  <c r="T195" i="2"/>
  <c r="S196" i="2"/>
  <c r="T196" i="2" s="1"/>
  <c r="S197" i="2"/>
  <c r="T197" i="2" s="1"/>
  <c r="S198" i="2"/>
  <c r="T198" i="2" s="1"/>
  <c r="S199" i="2"/>
  <c r="T199" i="2" s="1"/>
  <c r="S200" i="2"/>
  <c r="T200" i="2"/>
  <c r="S201" i="2"/>
  <c r="T201" i="2" s="1"/>
  <c r="S203" i="2"/>
  <c r="T203" i="2" s="1"/>
  <c r="S205" i="2"/>
  <c r="T205" i="2" s="1"/>
  <c r="S206" i="2"/>
  <c r="T206" i="2" s="1"/>
  <c r="S208" i="2"/>
  <c r="T208" i="2" s="1"/>
  <c r="S209" i="2"/>
  <c r="T209" i="2" s="1"/>
  <c r="S210" i="2"/>
  <c r="T210" i="2" s="1"/>
  <c r="S212" i="2"/>
  <c r="T212" i="2" s="1"/>
  <c r="S213" i="2"/>
  <c r="T213" i="2" s="1"/>
  <c r="S214" i="2"/>
  <c r="T214" i="2" s="1"/>
  <c r="S215" i="2"/>
  <c r="T215" i="2" s="1"/>
  <c r="S216" i="2"/>
  <c r="T216" i="2" s="1"/>
  <c r="S217" i="2"/>
  <c r="T217" i="2" s="1"/>
  <c r="S219" i="2"/>
  <c r="T219" i="2" s="1"/>
  <c r="S221" i="2"/>
  <c r="T221" i="2"/>
  <c r="S222" i="2"/>
  <c r="T222" i="2" s="1"/>
  <c r="S223" i="2"/>
  <c r="T223" i="2"/>
  <c r="S225" i="2"/>
  <c r="T225" i="2" s="1"/>
  <c r="S226" i="2"/>
  <c r="T226" i="2" s="1"/>
  <c r="S227" i="2"/>
  <c r="T227" i="2" s="1"/>
  <c r="S228" i="2"/>
  <c r="T228" i="2" s="1"/>
  <c r="S230" i="2"/>
  <c r="T230" i="2" s="1"/>
  <c r="S231" i="2"/>
  <c r="T231" i="2" s="1"/>
  <c r="S232" i="2"/>
  <c r="T232" i="2" s="1"/>
  <c r="S233" i="2"/>
  <c r="T233" i="2" s="1"/>
  <c r="S234" i="2"/>
  <c r="T234" i="2" s="1"/>
  <c r="S235" i="2"/>
  <c r="T235" i="2"/>
  <c r="S237" i="2"/>
  <c r="T237" i="2" s="1"/>
  <c r="S239" i="2"/>
  <c r="T239" i="2"/>
  <c r="S240" i="2"/>
  <c r="T240" i="2" s="1"/>
  <c r="S241" i="2"/>
  <c r="T241" i="2" s="1"/>
  <c r="S243" i="2"/>
  <c r="T243" i="2" s="1"/>
  <c r="S244" i="2"/>
  <c r="T244" i="2"/>
  <c r="S245" i="2"/>
  <c r="T245" i="2" s="1"/>
  <c r="S247" i="2"/>
  <c r="T247" i="2" s="1"/>
  <c r="S248" i="2"/>
  <c r="T248" i="2" s="1"/>
  <c r="S249" i="2"/>
  <c r="T249" i="2" s="1"/>
  <c r="S250" i="2"/>
  <c r="T250" i="2" s="1"/>
  <c r="S251" i="2"/>
  <c r="T251" i="2" s="1"/>
  <c r="S252" i="2"/>
  <c r="T252" i="2" s="1"/>
  <c r="S254" i="2"/>
  <c r="T254" i="2" s="1"/>
  <c r="S256" i="2"/>
  <c r="T256" i="2" s="1"/>
  <c r="S257" i="2"/>
  <c r="T257" i="2" s="1"/>
  <c r="S258" i="2"/>
  <c r="T258" i="2" s="1"/>
  <c r="S260" i="2"/>
  <c r="T260" i="2" s="1"/>
  <c r="S261" i="2"/>
  <c r="T261" i="2" s="1"/>
  <c r="S262" i="2"/>
  <c r="T262" i="2" s="1"/>
  <c r="S264" i="2"/>
  <c r="T264" i="2" s="1"/>
  <c r="S265" i="2"/>
  <c r="T265" i="2" s="1"/>
  <c r="S266" i="2"/>
  <c r="T266" i="2" s="1"/>
  <c r="S267" i="2"/>
  <c r="T267" i="2" s="1"/>
  <c r="S268" i="2"/>
  <c r="T268" i="2" s="1"/>
  <c r="S269" i="2"/>
  <c r="T269" i="2" s="1"/>
  <c r="S271" i="2"/>
  <c r="T271" i="2" s="1"/>
  <c r="S273" i="2"/>
  <c r="T273" i="2" s="1"/>
  <c r="S274" i="2"/>
  <c r="T274" i="2" s="1"/>
  <c r="S275" i="2"/>
  <c r="T275" i="2" s="1"/>
  <c r="S277" i="2"/>
  <c r="T277" i="2"/>
  <c r="S278" i="2"/>
  <c r="T278" i="2" s="1"/>
  <c r="S279" i="2"/>
  <c r="T279" i="2" s="1"/>
  <c r="S281" i="2"/>
  <c r="T281" i="2" s="1"/>
  <c r="S282" i="2"/>
  <c r="T282" i="2" s="1"/>
  <c r="S283" i="2"/>
  <c r="T283" i="2" s="1"/>
  <c r="S284" i="2"/>
  <c r="T284" i="2" s="1"/>
  <c r="S285" i="2"/>
  <c r="T285" i="2" s="1"/>
  <c r="S286" i="2"/>
  <c r="T286" i="2" s="1"/>
  <c r="S288" i="2"/>
  <c r="T288" i="2" s="1"/>
  <c r="S290" i="2"/>
  <c r="T290" i="2" s="1"/>
  <c r="S291" i="2"/>
  <c r="T291" i="2"/>
  <c r="S292" i="2"/>
  <c r="T292" i="2" s="1"/>
  <c r="S293" i="2"/>
  <c r="T293" i="2" s="1"/>
  <c r="S294" i="2"/>
  <c r="T294" i="2" s="1"/>
  <c r="S295" i="2"/>
  <c r="T295" i="2" s="1"/>
  <c r="S296" i="2"/>
  <c r="T296" i="2"/>
  <c r="S298" i="2"/>
  <c r="T298" i="2" s="1"/>
  <c r="S299" i="2"/>
  <c r="T299" i="2" s="1"/>
  <c r="S300" i="2"/>
  <c r="T300" i="2" s="1"/>
  <c r="S301" i="2"/>
  <c r="T301" i="2" s="1"/>
  <c r="S302" i="2"/>
  <c r="T302" i="2" s="1"/>
  <c r="S303" i="2"/>
  <c r="T303" i="2" s="1"/>
  <c r="S305" i="2"/>
  <c r="T305" i="2" s="1"/>
  <c r="S307" i="2"/>
  <c r="T307" i="2" s="1"/>
  <c r="S308" i="2"/>
  <c r="T308" i="2" s="1"/>
  <c r="S309" i="2"/>
  <c r="T309" i="2" s="1"/>
  <c r="S311" i="2"/>
  <c r="T311" i="2" s="1"/>
  <c r="S312" i="2"/>
  <c r="T312" i="2"/>
  <c r="S313" i="2"/>
  <c r="T313" i="2" s="1"/>
  <c r="S315" i="2"/>
  <c r="T315" i="2" s="1"/>
  <c r="S316" i="2"/>
  <c r="T316" i="2" s="1"/>
  <c r="S317" i="2"/>
  <c r="T317" i="2" s="1"/>
  <c r="S318" i="2"/>
  <c r="T318" i="2"/>
  <c r="S319" i="2"/>
  <c r="T319" i="2" s="1"/>
  <c r="S320" i="2"/>
  <c r="T320" i="2" s="1"/>
  <c r="S322" i="2"/>
  <c r="T322" i="2"/>
  <c r="S324" i="2"/>
  <c r="T324" i="2" s="1"/>
  <c r="S325" i="2"/>
  <c r="T325" i="2" s="1"/>
  <c r="S326" i="2"/>
  <c r="T326" i="2" s="1"/>
  <c r="S328" i="2"/>
  <c r="T328" i="2" s="1"/>
  <c r="S329" i="2"/>
  <c r="T329" i="2"/>
  <c r="S330" i="2"/>
  <c r="T330" i="2"/>
  <c r="S332" i="2"/>
  <c r="T332" i="2" s="1"/>
  <c r="S333" i="2"/>
  <c r="T333" i="2" s="1"/>
  <c r="S334" i="2"/>
  <c r="T334" i="2" s="1"/>
  <c r="S335" i="2"/>
  <c r="T335" i="2" s="1"/>
  <c r="S336" i="2"/>
  <c r="T336" i="2" s="1"/>
  <c r="S337" i="2"/>
  <c r="T337" i="2" s="1"/>
  <c r="S339" i="2"/>
  <c r="T339" i="2" s="1"/>
  <c r="S341" i="2"/>
  <c r="T341" i="2" s="1"/>
  <c r="S342" i="2"/>
  <c r="T342" i="2" s="1"/>
  <c r="S343" i="2"/>
  <c r="T343" i="2" s="1"/>
  <c r="S345" i="2"/>
  <c r="T345" i="2" s="1"/>
  <c r="S346" i="2"/>
  <c r="T346" i="2" s="1"/>
  <c r="S347" i="2"/>
  <c r="T347" i="2" s="1"/>
  <c r="S349" i="2"/>
  <c r="T349" i="2" s="1"/>
  <c r="S350" i="2"/>
  <c r="T350" i="2" s="1"/>
  <c r="S351" i="2"/>
  <c r="T351" i="2" s="1"/>
  <c r="S352" i="2"/>
  <c r="T352" i="2" s="1"/>
  <c r="S353" i="2"/>
  <c r="T353" i="2" s="1"/>
  <c r="S354" i="2"/>
  <c r="T354" i="2" s="1"/>
  <c r="S356" i="2"/>
  <c r="T356" i="2"/>
  <c r="S358" i="2"/>
  <c r="T358" i="2" s="1"/>
  <c r="S359" i="2"/>
  <c r="T359" i="2" s="1"/>
  <c r="S360" i="2"/>
  <c r="T360" i="2" s="1"/>
  <c r="S361" i="2"/>
  <c r="T361" i="2" s="1"/>
  <c r="S362" i="2"/>
  <c r="T362" i="2" s="1"/>
  <c r="S363" i="2"/>
  <c r="T363" i="2" s="1"/>
  <c r="S364" i="2"/>
  <c r="T364" i="2" s="1"/>
  <c r="S365" i="2"/>
  <c r="T365" i="2" s="1"/>
  <c r="S366" i="2"/>
  <c r="T366" i="2" s="1"/>
  <c r="C49" i="7"/>
  <c r="C48" i="7"/>
  <c r="H48" i="7" s="1"/>
  <c r="G37" i="6"/>
  <c r="G38" i="6"/>
  <c r="S202" i="2" s="1"/>
  <c r="T202" i="2" s="1"/>
  <c r="G39" i="6"/>
  <c r="S218" i="2" s="1"/>
  <c r="T218" i="2" s="1"/>
  <c r="G40" i="6"/>
  <c r="S238" i="2" s="1"/>
  <c r="T238" i="2" s="1"/>
  <c r="G41" i="6"/>
  <c r="S89" i="2" s="1"/>
  <c r="T89" i="2" s="1"/>
  <c r="G42" i="6"/>
  <c r="S104" i="2" s="1"/>
  <c r="T104" i="2" s="1"/>
  <c r="G43" i="6"/>
  <c r="S287" i="2" s="1"/>
  <c r="T287" i="2" s="1"/>
  <c r="G44" i="6"/>
  <c r="S306" i="2" s="1"/>
  <c r="T306" i="2" s="1"/>
  <c r="G45" i="6"/>
  <c r="S146" i="2" s="1"/>
  <c r="T146" i="2" s="1"/>
  <c r="G46" i="6"/>
  <c r="S154" i="2" s="1"/>
  <c r="T154" i="2" s="1"/>
  <c r="G47" i="6"/>
  <c r="S355" i="2" s="1"/>
  <c r="T355" i="2" s="1"/>
  <c r="G36" i="6"/>
  <c r="E47" i="6"/>
  <c r="E46" i="6"/>
  <c r="E45" i="6"/>
  <c r="E44" i="6"/>
  <c r="E43" i="6"/>
  <c r="E42" i="6"/>
  <c r="E41" i="6"/>
  <c r="E40" i="6"/>
  <c r="E39" i="6"/>
  <c r="E38" i="6"/>
  <c r="E37" i="6"/>
  <c r="E36" i="6"/>
  <c r="E21" i="6"/>
  <c r="E22" i="6"/>
  <c r="E23" i="6"/>
  <c r="E24" i="6"/>
  <c r="E25" i="6"/>
  <c r="E26" i="6"/>
  <c r="E27" i="6"/>
  <c r="E28" i="6"/>
  <c r="E29" i="6"/>
  <c r="E30" i="6"/>
  <c r="E31" i="6"/>
  <c r="E20" i="6"/>
  <c r="E16" i="6"/>
  <c r="E6" i="6"/>
  <c r="E7" i="6"/>
  <c r="E8" i="6"/>
  <c r="E9" i="6"/>
  <c r="E10" i="6"/>
  <c r="E11" i="6"/>
  <c r="E12" i="6"/>
  <c r="E13" i="6"/>
  <c r="E14" i="6"/>
  <c r="E15" i="6"/>
  <c r="E5" i="6"/>
  <c r="G6" i="6"/>
  <c r="G7" i="6"/>
  <c r="G8" i="6"/>
  <c r="G5" i="6"/>
  <c r="D67" i="7"/>
  <c r="S348" i="2" l="1"/>
  <c r="T348" i="2" s="1"/>
  <c r="S297" i="2"/>
  <c r="T297" i="2" s="1"/>
  <c r="S204" i="2"/>
  <c r="T204" i="2" s="1"/>
  <c r="S304" i="2"/>
  <c r="T304" i="2" s="1"/>
  <c r="S174" i="2"/>
  <c r="T174" i="2" s="1"/>
  <c r="S132" i="2"/>
  <c r="T132" i="2" s="1"/>
  <c r="S344" i="2"/>
  <c r="T344" i="2" s="1"/>
  <c r="S314" i="2"/>
  <c r="T314" i="2" s="1"/>
  <c r="S220" i="2"/>
  <c r="T220" i="2" s="1"/>
  <c r="S168" i="2"/>
  <c r="T168" i="2" s="1"/>
  <c r="S126" i="2"/>
  <c r="T126" i="2" s="1"/>
  <c r="S224" i="2"/>
  <c r="T224" i="2" s="1"/>
  <c r="S236" i="2"/>
  <c r="T236" i="2" s="1"/>
  <c r="S140" i="2"/>
  <c r="T140" i="2" s="1"/>
  <c r="S255" i="2"/>
  <c r="T255" i="2" s="1"/>
  <c r="S323" i="2"/>
  <c r="T323" i="2" s="1"/>
  <c r="S98" i="2"/>
  <c r="T98" i="2" s="1"/>
  <c r="S83" i="2"/>
  <c r="T83" i="2" s="1"/>
  <c r="S253" i="2"/>
  <c r="T253" i="2" s="1"/>
  <c r="S112" i="2"/>
  <c r="T112" i="2" s="1"/>
  <c r="S331" i="2"/>
  <c r="T331" i="2" s="1"/>
  <c r="S263" i="2"/>
  <c r="T263" i="2" s="1"/>
  <c r="S242" i="2"/>
  <c r="T242" i="2" s="1"/>
  <c r="S211" i="2"/>
  <c r="T211" i="2" s="1"/>
  <c r="S160" i="2"/>
  <c r="T160" i="2" s="1"/>
  <c r="S340" i="2"/>
  <c r="T340" i="2" s="1"/>
  <c r="S321" i="2"/>
  <c r="T321" i="2" s="1"/>
  <c r="S272" i="2"/>
  <c r="T272" i="2" s="1"/>
  <c r="S68" i="2"/>
  <c r="T68" i="2" s="1"/>
  <c r="S54" i="2"/>
  <c r="T54" i="2" s="1"/>
  <c r="S310" i="2"/>
  <c r="T310" i="2" s="1"/>
  <c r="S280" i="2"/>
  <c r="T280" i="2" s="1"/>
  <c r="S270" i="2"/>
  <c r="T270" i="2" s="1"/>
  <c r="S229" i="2"/>
  <c r="T229" i="2" s="1"/>
  <c r="S289" i="2"/>
  <c r="T289" i="2" s="1"/>
  <c r="S207" i="2"/>
  <c r="T207" i="2" s="1"/>
  <c r="S357" i="2"/>
  <c r="T357" i="2" s="1"/>
  <c r="S338" i="2"/>
  <c r="T338" i="2" s="1"/>
  <c r="S327" i="2"/>
  <c r="T327" i="2" s="1"/>
  <c r="S259" i="2"/>
  <c r="T259" i="2" s="1"/>
  <c r="S276" i="2"/>
  <c r="T276" i="2" s="1"/>
  <c r="S118" i="2"/>
  <c r="T118" i="2" s="1"/>
  <c r="S246" i="2"/>
  <c r="T246" i="2" s="1"/>
</calcChain>
</file>

<file path=xl/sharedStrings.xml><?xml version="1.0" encoding="utf-8"?>
<sst xmlns="http://schemas.openxmlformats.org/spreadsheetml/2006/main" count="6303" uniqueCount="177">
  <si>
    <t>Antigen</t>
  </si>
  <si>
    <t>Product</t>
  </si>
  <si>
    <t>Malaria</t>
  </si>
  <si>
    <t>Country</t>
  </si>
  <si>
    <t>ISO Code</t>
  </si>
  <si>
    <t>Year</t>
  </si>
  <si>
    <t>Product Price</t>
  </si>
  <si>
    <t>Volume</t>
  </si>
  <si>
    <t>Value</t>
  </si>
  <si>
    <t>Both</t>
  </si>
  <si>
    <t>ISO</t>
  </si>
  <si>
    <t>WHO Region</t>
  </si>
  <si>
    <t>Unicef Region</t>
  </si>
  <si>
    <t>WB Status</t>
  </si>
  <si>
    <t>Price Tier</t>
  </si>
  <si>
    <t>Gavi Co-financing</t>
  </si>
  <si>
    <t>Gavi Eligibility</t>
  </si>
  <si>
    <t>Vaccine</t>
  </si>
  <si>
    <t>Vaccine Sub-type</t>
  </si>
  <si>
    <t>Product Introduction Date</t>
  </si>
  <si>
    <t>Vaccine Introduction Date</t>
  </si>
  <si>
    <t>Brand Name</t>
  </si>
  <si>
    <t>Routine/Campaign</t>
  </si>
  <si>
    <t>Gender</t>
  </si>
  <si>
    <t>Total Required Supply</t>
  </si>
  <si>
    <t>EMRO</t>
  </si>
  <si>
    <t>Low Income</t>
  </si>
  <si>
    <t>UNICEF</t>
  </si>
  <si>
    <t>Initial self-financing</t>
  </si>
  <si>
    <t>Eligible</t>
  </si>
  <si>
    <t>Routine</t>
  </si>
  <si>
    <t>Angola</t>
  </si>
  <si>
    <t>AGO</t>
  </si>
  <si>
    <t>AFRO</t>
  </si>
  <si>
    <t>SSA</t>
  </si>
  <si>
    <t>Benin</t>
  </si>
  <si>
    <t>BEN</t>
  </si>
  <si>
    <t>Burkina Faso</t>
  </si>
  <si>
    <t>BFA</t>
  </si>
  <si>
    <t>Burundi</t>
  </si>
  <si>
    <t>BDI</t>
  </si>
  <si>
    <t>Cameroon</t>
  </si>
  <si>
    <t>CMR</t>
  </si>
  <si>
    <t>CAR</t>
  </si>
  <si>
    <t>CAF</t>
  </si>
  <si>
    <t>Chad</t>
  </si>
  <si>
    <t>TCD</t>
  </si>
  <si>
    <t>Congo</t>
  </si>
  <si>
    <t>COG</t>
  </si>
  <si>
    <t>Cote d'Ivoire</t>
  </si>
  <si>
    <t>CIV</t>
  </si>
  <si>
    <t>DRC</t>
  </si>
  <si>
    <t>COD</t>
  </si>
  <si>
    <t>Ethiopia</t>
  </si>
  <si>
    <t>ETH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</si>
  <si>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</si>
  <si>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</si>
  <si>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</si>
  <si>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</si>
  <si>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</si>
  <si>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</si>
  <si>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</si>
  <si>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</si>
  <si>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</si>
  <si>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</si>
  <si>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</si>
  <si>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</si>
  <si>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</si>
  <si>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</si>
  <si>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</si>
  <si>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</si>
  <si>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</si>
  <si>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</si>
  <si>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</si>
  <si>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</si>
  <si>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Mozambique</t>
  </si>
  <si>
    <t>MOZ</t>
  </si>
  <si>
    <t>Niger</t>
  </si>
  <si>
    <t>NER</t>
  </si>
  <si>
    <t>Nigeria</t>
  </si>
  <si>
    <t>NGA</t>
  </si>
  <si>
    <t>Sierra Leone</t>
  </si>
  <si>
    <t>SLE</t>
  </si>
  <si>
    <t>Somalia</t>
  </si>
  <si>
    <t>SOM</t>
  </si>
  <si>
    <t>Sudan</t>
  </si>
  <si>
    <t>SDN</t>
  </si>
  <si>
    <t>MENA</t>
  </si>
  <si>
    <t>Tanzania</t>
  </si>
  <si>
    <t>TZA</t>
  </si>
  <si>
    <t>Togo</t>
  </si>
  <si>
    <t>TGO</t>
  </si>
  <si>
    <t>Uganda</t>
  </si>
  <si>
    <t>UGA</t>
  </si>
  <si>
    <t>Zambia</t>
  </si>
  <si>
    <t>ZMB</t>
  </si>
  <si>
    <t>Preparatory transition phase</t>
  </si>
  <si>
    <t>South Sudan</t>
  </si>
  <si>
    <t>SSD</t>
  </si>
  <si>
    <t>Jan 2024</t>
  </si>
  <si>
    <t>RTS,S/AS01</t>
  </si>
  <si>
    <t>CYVAC</t>
  </si>
  <si>
    <t>Oct 2024</t>
  </si>
  <si>
    <t>Nov 2024</t>
  </si>
  <si>
    <t>Apr 2024</t>
  </si>
  <si>
    <t>Jul 2024</t>
  </si>
  <si>
    <t>Mar 2024</t>
  </si>
  <si>
    <t>-</t>
  </si>
  <si>
    <t/>
  </si>
  <si>
    <t>Lower Middle Income</t>
  </si>
  <si>
    <t>Accelerated transition phase</t>
  </si>
  <si>
    <t>Transitioning</t>
  </si>
  <si>
    <t>Fully self-financing</t>
  </si>
  <si>
    <t>Transitioned</t>
  </si>
  <si>
    <t>Price(USD$)/Dose</t>
  </si>
  <si>
    <t>Price (local currency)/Dose</t>
  </si>
  <si>
    <t>Price Data - RTS,S/AS01</t>
  </si>
  <si>
    <t>Price Data - R21/Matrix-M</t>
  </si>
  <si>
    <t xml:space="preserve">R21/Matrix-M </t>
  </si>
  <si>
    <t>Source</t>
  </si>
  <si>
    <t>TBD</t>
  </si>
  <si>
    <t>https://www.unicef.org/supply/media/24456/file/Malaria-vaccine-prices-11112025.pdf</t>
  </si>
  <si>
    <t>Code</t>
  </si>
  <si>
    <t>Year_product</t>
  </si>
  <si>
    <t>Price (USD $/Dose)</t>
  </si>
  <si>
    <t>Column Labels</t>
  </si>
  <si>
    <t>Grand Total</t>
  </si>
  <si>
    <t>Row Labels</t>
  </si>
  <si>
    <t>Sum of Total Required Supply</t>
  </si>
  <si>
    <t>Market Share</t>
  </si>
  <si>
    <t>(All)</t>
  </si>
  <si>
    <t>Price X Volume</t>
  </si>
  <si>
    <t>Average of WAP ($/Dose)</t>
  </si>
  <si>
    <t xml:space="preserve">WAP </t>
  </si>
  <si>
    <t>Market Size</t>
  </si>
  <si>
    <t>Sum of Market Size (Mn USD)</t>
  </si>
  <si>
    <t>Sum of Market Size (Mn doses)</t>
  </si>
  <si>
    <t>Market size (Mn USD)</t>
  </si>
  <si>
    <t>Market size (Mn doses)</t>
  </si>
  <si>
    <t>2024RTS,S/AS01</t>
  </si>
  <si>
    <t xml:space="preserve">2024R21/Matrix-M </t>
  </si>
  <si>
    <t xml:space="preserve">2025R21/Matrix-M </t>
  </si>
  <si>
    <t>2025RTS,S/AS01</t>
  </si>
  <si>
    <t>2026RTS,S/AS01</t>
  </si>
  <si>
    <t xml:space="preserve">2026R21/Matrix-M </t>
  </si>
  <si>
    <t>2027RTS,S/AS01</t>
  </si>
  <si>
    <t xml:space="preserve">2027R21/Matrix-M </t>
  </si>
  <si>
    <t>2027TBD</t>
  </si>
  <si>
    <t>2028RTS,S/AS01</t>
  </si>
  <si>
    <t xml:space="preserve">2028R21/Matrix-M </t>
  </si>
  <si>
    <t>2028TBD</t>
  </si>
  <si>
    <t>2029RTS,S/AS01</t>
  </si>
  <si>
    <t xml:space="preserve">2029R21/Matrix-M </t>
  </si>
  <si>
    <t>2029TBD</t>
  </si>
  <si>
    <t>2030RTS,S/AS01</t>
  </si>
  <si>
    <t xml:space="preserve">2030R21/Matrix-M </t>
  </si>
  <si>
    <t>2030TBD</t>
  </si>
  <si>
    <t>2031RTS,S/AS01</t>
  </si>
  <si>
    <t xml:space="preserve">2031R21/Matrix-M </t>
  </si>
  <si>
    <t>2031TBD</t>
  </si>
  <si>
    <t>2032RTS,S/AS01</t>
  </si>
  <si>
    <t xml:space="preserve">2032R21/Matrix-M </t>
  </si>
  <si>
    <t>2032TBD</t>
  </si>
  <si>
    <t>2033RTS,S/AS01</t>
  </si>
  <si>
    <t xml:space="preserve">2033R21/Matrix-M </t>
  </si>
  <si>
    <t>2033TBD</t>
  </si>
  <si>
    <t>2034RTS,S/AS01</t>
  </si>
  <si>
    <t xml:space="preserve">2034R21/Matrix-M </t>
  </si>
  <si>
    <t>2034TBD</t>
  </si>
  <si>
    <t>2035RTS,S/AS01</t>
  </si>
  <si>
    <t xml:space="preserve">2035R21/Matrix-M </t>
  </si>
  <si>
    <t>2035TBD</t>
  </si>
  <si>
    <t>2026TBD</t>
  </si>
  <si>
    <t>Product Mapping</t>
  </si>
  <si>
    <t>Market size (2026-20230), Price of R21 remains $3.90</t>
  </si>
  <si>
    <t>Market size (2026-20230), Price of R21 reduces to $2.99 post 2027</t>
  </si>
  <si>
    <t>Potential Savings due to price reduction (Mn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</si>
</sst>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  <numFmt numFmtId="165" formatCode="_ [$€-2]\ * #,##0.00_ ;_ [$€-2]\ * \-#,##0.00_ ;_ [$€-2]\ * &quot;-&quot;??_ ;_ @_ "/>
    <numFmt numFmtId="166" formatCode="_ * #,##0.0_ ;_ * \-#,##0.0_ ;_ * &quot;-&quot;??_ ;_ @_ "/>
    <numFmt numFmtId="167" formatCode="_ * #,##0_ ;_ * \-#,##0_ ;_ * &quot;-&quot;??_ ;_ @_ "/>
    <numFmt numFmtId="168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164" fontId="0" fillId="0" borderId="11" xfId="0" applyNumberFormat="1" applyBorder="1"/>
    <xf numFmtId="164" fontId="0" fillId="0" borderId="12" xfId="0" applyNumberFormat="1" applyBorder="1"/>
    <xf numFmtId="165" fontId="0" fillId="0" borderId="11" xfId="3" applyNumberFormat="1" applyFon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3" xfId="0" applyBorder="1"/>
    <xf numFmtId="0" fontId="1" fillId="2" borderId="13" xfId="0" applyFont="1" applyFill="1" applyBorder="1"/>
    <xf numFmtId="0" fontId="1" fillId="4" borderId="1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0" fillId="0" borderId="13" xfId="0" applyNumberFormat="1" applyBorder="1"/>
    <xf numFmtId="167" fontId="0" fillId="0" borderId="13" xfId="2" applyNumberFormat="1" applyFont="1" applyBorder="1"/>
    <xf numFmtId="167" fontId="0" fillId="0" borderId="0" xfId="2" applyNumberFormat="1" applyFont="1"/>
    <xf numFmtId="167" fontId="0" fillId="0" borderId="0" xfId="0" applyNumberFormat="1"/>
    <xf numFmtId="43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3" borderId="0" xfId="0" applyFont="1" applyFill="1"/>
    <xf numFmtId="0" fontId="6" fillId="3" borderId="0" xfId="0" applyFont="1" applyFill="1"/>
    <xf numFmtId="0" fontId="7" fillId="0" borderId="0" xfId="0" applyFont="1"/>
    <xf numFmtId="0" fontId="6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  <xf numFmtId="0" fontId="1" fillId="0" borderId="17" xfId="0" applyFont="1" applyBorder="1"/>
    <xf numFmtId="0" fontId="1" fillId="0" borderId="19" xfId="0" applyFont="1" applyBorder="1"/>
    <xf numFmtId="167" fontId="0" fillId="0" borderId="18" xfId="0" applyNumberFormat="1" applyBorder="1"/>
    <xf numFmtId="167" fontId="0" fillId="0" borderId="20" xfId="0" applyNumberForma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167" fontId="0" fillId="0" borderId="21" xfId="0" applyNumberFormat="1" applyBorder="1"/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29">
    <dxf>
      <alignment wrapText="1"/>
    </dxf>
    <dxf>
      <alignment wrapText="1"/>
    </dxf>
    <dxf>
      <numFmt numFmtId="13" formatCode="0%"/>
    </dxf>
    <dxf>
      <numFmt numFmtId="14" formatCode="0.00%"/>
    </dxf>
    <dxf>
      <numFmt numFmtId="168" formatCode="0.0%"/>
    </dxf>
    <dxf>
      <numFmt numFmtId="13" formatCode="0%"/>
    </dxf>
    <dxf>
      <numFmt numFmtId="35" formatCode="_ * #,##0.00_ ;_ * \-#,##0.00_ ;_ * &quot;-&quot;??_ ;_ @_ "/>
    </dxf>
    <dxf>
      <numFmt numFmtId="13" formatCode="0%"/>
    </dxf>
    <dxf>
      <numFmt numFmtId="166" formatCode="_ * #,##0.0_ ;_ * \-#,##0.0_ ;_ * &quot;-&quot;??_ ;_ @_ "/>
    </dxf>
    <dxf>
      <alignment wrapText="1"/>
    </dxf>
    <dxf>
      <numFmt numFmtId="13" formatCode="0%"/>
    </dxf>
    <dxf>
      <numFmt numFmtId="14" formatCode="0.00%"/>
    </dxf>
    <dxf>
      <numFmt numFmtId="168" formatCode="0.0%"/>
    </dxf>
    <dxf>
      <numFmt numFmtId="13" formatCode="0%"/>
    </dxf>
    <dxf>
      <numFmt numFmtId="14" formatCode="0.00%"/>
    </dxf>
    <dxf>
      <numFmt numFmtId="168" formatCode="0.0%"/>
    </dxf>
    <dxf>
      <numFmt numFmtId="13" formatCode="0%"/>
    </dxf>
    <dxf>
      <numFmt numFmtId="35" formatCode="_ * #,##0.00_ ;_ * \-#,##0.00_ ;_ * &quot;-&quot;??_ ;_ @_ "/>
    </dxf>
    <dxf>
      <numFmt numFmtId="13" formatCode="0%"/>
    </dxf>
    <dxf>
      <numFmt numFmtId="166" formatCode="_ * #,##0.0_ ;_ * \-#,##0.0_ ;_ * &quot;-&quot;??_ ;_ @_ "/>
    </dxf>
    <dxf>
      <alignment wrapText="1"/>
    </dxf>
    <dxf>
      <alignment wrapText="1"/>
    </dxf>
    <dxf>
      <numFmt numFmtId="166" formatCode="_ * #,##0.0_ ;_ * \-#,##0.0_ ;_ * &quot;-&quot;??_ ;_ @_ "/>
    </dxf>
    <dxf>
      <numFmt numFmtId="13" formatCode="0%"/>
    </dxf>
    <dxf>
      <numFmt numFmtId="35" formatCode="_ * #,##0.00_ ;_ * \-#,##0.00_ ;_ * &quot;-&quot;??_ ;_ @_ "/>
    </dxf>
    <dxf>
      <numFmt numFmtId="13" formatCode="0%"/>
    </dxf>
    <dxf>
      <numFmt numFmtId="168" formatCode="0.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[18122025_Malaria_Market_Model_vS.xlsx]Summary!PivotTable1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Summary!$C$6:$C$7</c:f>
              <c:strCache>
                <c:ptCount val="1"/>
                <c:pt idx="0">
                  <c:v>R21/Matrix-M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Summary!$B$8:$B$20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Summary!$C$8:$C$20</c:f>
              <c:numCache>
                <c:formatCode>0.0%</c:formatCode>
                <c:ptCount val="12"/>
                <c:pt idx="0">
                  <c:v>0.44496788928104775</c:v>
                </c:pt>
                <c:pt idx="1">
                  <c:v>0.82343203907022944</c:v>
                </c:pt>
                <c:pt idx="2">
                  <c:v>0.84244112234754276</c:v>
                </c:pt>
                <c:pt idx="3">
                  <c:v>0.81400751256736437</c:v>
                </c:pt>
                <c:pt idx="4">
                  <c:v>0.81795612566556863</c:v>
                </c:pt>
                <c:pt idx="5">
                  <c:v>0.81928106259607159</c:v>
                </c:pt>
                <c:pt idx="6">
                  <c:v>0.81856245237033454</c:v>
                </c:pt>
                <c:pt idx="7">
                  <c:v>0.81825789532118998</c:v>
                </c:pt>
                <c:pt idx="8">
                  <c:v>0.81827038747631864</c:v>
                </c:pt>
                <c:pt idx="9">
                  <c:v>0.81828895377308508</c:v>
                </c:pt>
                <c:pt idx="10">
                  <c:v>0.81857558207046177</c:v>
                </c:pt>
                <c:pt idx="11">
                  <c:v>0.81873515472243108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9DF-A9AE-B0F43568CFCB}"/>
            </c:ext>
          </c:extLst>
        </c:ser>
        <c:ser>
          <c:idx val="1"/>
          <c:order val="1"/>
          <c:tx>
            <c:strRef>
              <c:f>Summary!$D$6:$D$7</c:f>
              <c:strCache>
                <c:ptCount val="1"/>
                <c:pt idx="0">
                  <c:v>RTS,S/AS01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Summary!$B$8:$B$20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Summary!$D$8:$D$20</c:f>
              <c:numCache>
                <c:formatCode>0.0%</c:formatCode>
                <c:ptCount val="12"/>
                <c:pt idx="0">
                  <c:v>0.5550321107189522</c:v>
                </c:pt>
                <c:pt idx="1">
                  <c:v>0.17656796092977062</c:v>
                </c:pt>
                <c:pt idx="2">
                  <c:v>0.14512378820267299</c:v>
                </c:pt>
                <c:pt idx="3">
                  <c:v>0.14106430610190715</c:v>
                </c:pt>
                <c:pt idx="4">
                  <c:v>0.11376808431070239</c:v>
                </c:pt>
                <c:pt idx="5">
                  <c:v>0.10831159212548361</c:v>
                </c:pt>
                <c:pt idx="6">
                  <c:v>0.10866959369399865</c:v>
                </c:pt>
                <c:pt idx="7">
                  <c:v>0.10860067075807461</c:v>
                </c:pt>
                <c:pt idx="8">
                  <c:v>0.10841240992144034</c:v>
                </c:pt>
                <c:pt idx="9">
                  <c:v>0.108092127796291</c:v>
                </c:pt>
                <c:pt idx="10">
                  <c:v>0.10735760894718702</c:v>
                </c:pt>
                <c:pt idx="11">
                  <c:v>0.10670573463586062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4-4047-82B4-4F8103669C00}"/>
            </c:ext>
          </c:extLst>
        </c:ser>
        <c:ser>
          <c:idx val="2"/>
          <c:order val="2"/>
          <c:tx>
            <c:strRef>
              <c:f>Summary!$E$6:$E$7</c:f>
              <c:strCache>
                <c:ptCount val="1"/>
                <c:pt idx="0">
                  <c:v>TBD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Summary!$B$8:$B$20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Summary!$E$8:$E$20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1.2435089449784217E-2</c:v>
                </c:pt>
                <c:pt idx="3">
                  <c:v>4.4928181330728338E-2</c:v>
                </c:pt>
                <c:pt idx="4">
                  <c:v>6.8275790023729035E-2</c:v>
                </c:pt>
                <c:pt idx="5">
                  <c:v>7.2407345278444779E-2</c:v>
                </c:pt>
                <c:pt idx="6">
                  <c:v>7.2767953935666763E-2</c:v>
                </c:pt>
                <c:pt idx="7">
                  <c:v>7.3141433920735438E-2</c:v>
                </c:pt>
                <c:pt idx="8">
                  <c:v>7.331720260224095E-2</c:v>
                </c:pt>
                <c:pt idx="9">
                  <c:v>7.3618918430623917E-2</c:v>
                </c:pt>
                <c:pt idx="10">
                  <c:v>7.4066808982351198E-2</c:v>
                </c:pt>
                <c:pt idx="11">
                  <c:v>7.4559110641708365E-2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4-4047-82B4-4F810366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162479"/>
        <c:axId val="1840157679"/>
      </c:areaChart>
      <c:catAx>
        <c:axId val="1840162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57679"/>
        <c:crosses val="autoZero"/>
        <c:auto val="1"/>
        <c:lblAlgn val="ctr"/>
        <c:lblOffset val="100"/>
        <c:noMultiLvlLbl val="0"/>
      </c:catAx>
      <c:valAx>
        <c:axId val="18401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62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[18122025_Malaria_Market_Model_vS.xlsx]Summary!PivotTable3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WAP trend</a:t>
            </a:r>
            <a:r>
              <a:rPr lang="en-US" baseline="0"/>
              <a:t> ($/Dose)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Summary!$C$29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Summary!$B$30:$B$42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Summary!$C$30:$C$42</c:f>
              <c:numCache>
                <c:formatCode>_(* #,##0.00_);_(* \(#,##0.00\);_(* "-"??_);_(@_)</c:formatCode>
                <c:ptCount val="12"/>
                <c:pt idx="0">
                  <c:v>7.8262971512258703</c:v>
                </c:pt>
                <c:pt idx="1">
                  <c:v>5.1490417556171986</c:v>
                </c:pt>
                <c:pt idx="2">
                  <c:v>4.9266056777457079</c:v>
                </c:pt>
                <c:pt idx="3">
                  <c:v>4.1162574199176269</c:v>
                </c:pt>
                <c:pt idx="4">
                  <c:v>3.218673849464512</c:v>
                </c:pt>
                <c:pt idx="5">
                  <c:v>3.2077063001722221</c:v>
                </c:pt>
                <c:pt idx="6">
                  <c:v>3.2084258833249377</c:v>
                </c:pt>
                <c:pt idx="7">
                  <c:v>3.2082873482237302</c:v>
                </c:pt>
                <c:pt idx="8">
                  <c:v>3.2079089439420945</c:v>
                </c:pt>
                <c:pt idx="9">
                  <c:v>3.2072651768705458</c:v>
                </c:pt>
                <c:pt idx="10">
                  <c:v>3.2057887939838459</c:v>
                </c:pt>
                <c:pt idx="11">
                  <c:v>3.2044785266180811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3-4458-B86F-10F87FA0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243599"/>
        <c:axId val="1840245039"/>
      </c:lineChart>
      <c:catAx>
        <c:axId val="18402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245039"/>
        <c:crosses val="autoZero"/>
        <c:auto val="1"/>
        <c:lblAlgn val="ctr"/>
        <c:lblOffset val="100"/>
        <c:noMultiLvlLbl val="0"/>
      </c:catAx>
      <c:valAx>
        <c:axId val="1840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24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[18122025_Malaria_Market_Model_vS.xlsx]Summary!PivotTable4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Summary!$C$53</c:f>
              <c:strCache>
                <c:ptCount val="1"/>
                <c:pt idx="0">
                  <c:v>Sum of Market Size (Mn 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Summary!$B$54:$B$66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Summary!$C$54:$C$66</c:f>
              <c:numCache>
                <c:formatCode>_ * #,##0.0_ ;_ * \-#,##0.0_ ;_ * "-"??_ ;_ @_ </c:formatCode>
                <c:ptCount val="12"/>
                <c:pt idx="0">
                  <c:v>46.106853940105239</c:v>
                </c:pt>
                <c:pt idx="1">
                  <c:v>125.84720300209678</c:v>
                </c:pt>
                <c:pt idx="2">
                  <c:v>264.60083425667949</c:v>
                </c:pt>
                <c:pt idx="3">
                  <c:v>237.90705977574936</c:v>
                </c:pt>
                <c:pt idx="4">
                  <c:v>193.29476706241309</c:v>
                </c:pt>
                <c:pt idx="5">
                  <c:v>198.31850267608709</c:v>
                </c:pt>
                <c:pt idx="6">
                  <c:v>202.26260457633799</c:v>
                </c:pt>
                <c:pt idx="7">
                  <c:v>206.59901305542132</c:v>
                </c:pt>
                <c:pt idx="8">
                  <c:v>210.76124944306034</c:v>
                </c:pt>
                <c:pt idx="9">
                  <c:v>214.79174584367718</c:v>
                </c:pt>
                <c:pt idx="10">
                  <c:v>218.66774871784969</c:v>
                </c:pt>
                <c:pt idx="11">
                  <c:v>222.44200792143064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5-4D83-8CA8-63E035FFF717}"/>
            </c:ext>
          </c:extLst>
        </c:ser>
        <c:ser>
          <c:idx val="1"/>
          <c:order val="1"/>
          <c:tx>
            <c:strRef>
              <c:f>Summary!$D$53</c:f>
              <c:strCache>
                <c:ptCount val="1"/>
                <c:pt idx="0">
                  <c:v>Sum of Market Size (Mn doses)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Summary!$B$54:$B$66</c:f>
              <c:strCache>
                <c:ptCount val="1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</c:strCache>
            </c:strRef>
          </c:cat>
          <c:val>
            <c:numRef>
              <c:f>Summary!$D$54:$D$66</c:f>
              <c:numCache>
                <c:formatCode>_ * #,##0.0_ ;_ * \-#,##0.0_ ;_ * "-"??_ ;_ @_ </c:formatCode>
                <c:ptCount val="12"/>
                <c:pt idx="0">
                  <c:v>5.8912731077280016</c:v>
                </c:pt>
                <c:pt idx="1">
                  <c:v>24.440897738847699</c:v>
                </c:pt>
                <c:pt idx="2">
                  <c:v>53.708547337556404</c:v>
                </c:pt>
                <c:pt idx="3">
                  <c:v>57.796934327909518</c:v>
                </c:pt>
                <c:pt idx="4">
                  <c:v>60.054163951582538</c:v>
                </c:pt>
                <c:pt idx="5">
                  <c:v>61.825642411663225</c:v>
                </c:pt>
                <c:pt idx="6">
                  <c:v>63.041071208018792</c:v>
                </c:pt>
                <c:pt idx="7">
                  <c:v>64.395420556642151</c:v>
                </c:pt>
                <c:pt idx="8">
                  <c:v>65.700508688398969</c:v>
                </c:pt>
                <c:pt idx="9">
                  <c:v>66.970373199155887</c:v>
                </c:pt>
                <c:pt idx="10">
                  <c:v>68.210279207480312</c:v>
                </c:pt>
                <c:pt idx="11">
                  <c:v>69.415977068877368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E5-4D83-8CA8-63E035FF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247423"/>
        <c:axId val="2083227743"/>
      </c:lineChart>
      <c:catAx>
        <c:axId val="20832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27743"/>
        <c:crosses val="autoZero"/>
        <c:auto val="1"/>
        <c:lblAlgn val="ctr"/>
        <c:lblOffset val="100"/>
        <c:noMultiLvlLbl val="0"/>
      </c:catAx>
      <c:valAx>
        <c:axId val="20832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4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586454</xdr:colOff>
      <xdr:row>4</xdr:row>
      <xdr:rowOff>93596</xdr:rowOff>
    </xdr:from>
    <xdr:to>
      <xdr:col>9</xdr:col>
      <xdr:colOff>754811</xdr:colOff>
      <xdr:row>20</xdr:row>
      <xdr:rowOff>63116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B510C-CCAF-C318-03B1-6C5C03875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636197</xdr:colOff>
      <xdr:row>26</xdr:row>
      <xdr:rowOff>112862</xdr:rowOff>
    </xdr:from>
    <xdr:to>
      <xdr:col>6</xdr:col>
      <xdr:colOff>481640</xdr:colOff>
      <xdr:row>42</xdr:row>
      <xdr:rowOff>93453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E99F-C215-6967-9DCC-E76072BA7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334272</xdr:colOff>
      <xdr:row>50</xdr:row>
      <xdr:rowOff>163184</xdr:rowOff>
    </xdr:from>
    <xdr:to>
      <xdr:col>8</xdr:col>
      <xdr:colOff>1150188</xdr:colOff>
      <xdr:row>66</xdr:row>
      <xdr:rowOff>30913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7B12BB-82D4-67AD-C5F3-73807B48E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sh Verma" refreshedDate="46009.733861111112" createdVersion="8" refreshedVersion="8" minRefreshableVersion="3" recordCount="362" xr:uid="{F4EBEF01-09C8-47CA-800F-A428AEF5D068}">
  <cacheSource type="worksheet">
    <worksheetSource ref="C4:W366" sheet="Master Data"/>
  </cacheSource>
  <cacheFields count="24">
    <cacheField name="Year" numFmtId="0">
      <sharedItems containsSemiMixedTypes="0" containsString="0" containsNumber="1" containsInteger="1" minValue="2024" maxValue="2035" count="12"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Country" numFmtId="0">
      <sharedItems count="32">
        <s v="Burkina Faso"/>
        <s v="CAR"/>
        <s v="Chad"/>
        <s v="DRC"/>
        <s v="Liberia"/>
        <s v="Malawi"/>
        <s v="Mozambique"/>
        <s v="Niger"/>
        <s v="Sierra Leone"/>
        <s v="South Sudan"/>
        <s v="Sudan"/>
        <s v="Burundi"/>
        <s v="Ethiopia"/>
        <s v="Guinea-Bissau"/>
        <s v="Mali"/>
        <s v="Togo"/>
        <s v="Uganda"/>
        <s v="Gambia"/>
        <s v="Madagascar"/>
        <s v="Somalia"/>
        <s v="Benin"/>
        <s v="Cameroon"/>
        <s v="Cote d'Ivoire"/>
        <s v="Ghana"/>
        <s v="Kenya"/>
        <s v="Nigeria"/>
        <s v="Guinea"/>
        <s v="Zambia"/>
        <s v="Congo"/>
        <s v="Mauritania"/>
        <s v="Tanzania"/>
        <s v="Angola"/>
      </sharedItems>
    </cacheField>
    <cacheField name="ISO" numFmtId="0">
      <sharedItems/>
    </cacheField>
    <cacheField name="WHO Region" numFmtId="0">
      <sharedItems/>
    </cacheField>
    <cacheField name="Unicef Region" numFmtId="0">
      <sharedItems/>
    </cacheField>
    <cacheField name="WB Status" numFmtId="0">
      <sharedItems containsBlank="1"/>
    </cacheField>
    <cacheField name="Price Tier" numFmtId="0">
      <sharedItems/>
    </cacheField>
    <cacheField name="Gavi Co-financing" numFmtId="0">
      <sharedItems/>
    </cacheField>
    <cacheField name="Gavi Eligibility" numFmtId="0">
      <sharedItems/>
    </cacheField>
    <cacheField name="Vaccine" numFmtId="0">
      <sharedItems/>
    </cacheField>
    <cacheField name="Vaccine Sub-type" numFmtId="0">
      <sharedItems/>
    </cacheField>
    <cacheField name="Product Introduction Date" numFmtId="0">
      <sharedItems/>
    </cacheField>
    <cacheField name="Vaccine Introduction Date" numFmtId="0">
      <sharedItems/>
    </cacheField>
    <cacheField name="Brand Name" numFmtId="0">
      <sharedItems/>
    </cacheField>
    <cacheField name="Product Mapping" numFmtId="0">
      <sharedItems count="3">
        <s v="RTS,S/AS01"/>
        <s v="R21/Matrix-M "/>
        <s v="TBD"/>
      </sharedItems>
    </cacheField>
    <cacheField name="Year_product" numFmtId="0">
      <sharedItems/>
    </cacheField>
    <cacheField name="Price (USD $/Dose)" numFmtId="164">
      <sharedItems containsSemiMixedTypes="0" containsString="0" containsNumber="1" minValue="2.99" maxValue="10.974"/>
    </cacheField>
    <cacheField name="Price X Volume" numFmtId="164">
      <sharedItems containsSemiMixedTypes="0" containsString="0" containsNumber="1" minValue="25081.519217906251" maxValue="44792426.862132549"/>
    </cacheField>
    <cacheField name="Routine/Campaign" numFmtId="0">
      <sharedItems/>
    </cacheField>
    <cacheField name="Gender" numFmtId="0">
      <sharedItems/>
    </cacheField>
    <cacheField name="Total Required Supply" numFmtId="167">
      <sharedItems containsSemiMixedTypes="0" containsString="0" containsNumber="1" minValue="2285.540296875" maxValue="13684106.319775838"/>
    </cacheField>
    <cacheField name="WAP ($/Dose)" numFmtId="0" formula="'Price X Volume'/'Total Required Supply'" databaseField="0"/>
    <cacheField name="Market Size (Mn USD)" numFmtId="0" formula="'Price X Volume'/10^6" databaseField="0"/>
    <cacheField name="Market Size (Mn doses)" numFmtId="0" formula="'Total Required Supply'/10^6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x v="0"/>
    <x v="0"/>
    <s v="BFA"/>
    <s v="AFRO"/>
    <s v="SSA"/>
    <s v="Low Income"/>
    <s v="UNICEF"/>
    <s v="Initial self-financing"/>
    <s v="Eligible"/>
    <s v="Malaria"/>
    <s v="Malaria"/>
    <s v="Jan 2024"/>
    <s v="Jan 2024"/>
    <s v="RTS,S/AS01"/>
    <x v="0"/>
    <s v="2024RTS,S/AS01"/>
    <n v="10.974"/>
    <n v="5936227.6939521628"/>
    <s v="Routine"/>
    <s v="Both"/>
    <n v="540935.63823147095"/>
  </r>
  <r>
    <x v="0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4R21/Matrix-M "/>
    <n v="3.9"/>
    <n v="501379.63038970268"/>
    <s v="Routine"/>
    <s v="Both"/>
    <n v="128558.87958710325"/>
  </r>
  <r>
    <x v="0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4R21/Matrix-M "/>
    <n v="3.9"/>
    <n v="196879.5738527053"/>
    <s v="Routine"/>
    <s v="Both"/>
    <n v="50481.942013514185"/>
  </r>
  <r>
    <x v="0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4R21/Matrix-M "/>
    <n v="3.9"/>
    <n v="1290126.0168751997"/>
    <s v="Routine"/>
    <s v="Both"/>
    <n v="330801.54278851277"/>
  </r>
  <r>
    <x v="0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4RTS,S/AS01"/>
    <n v="10.974"/>
    <n v="999221.32613475015"/>
    <s v="Routine"/>
    <s v="Both"/>
    <n v="91053.51978629033"/>
  </r>
  <r>
    <x v="0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4RTS,S/AS01"/>
    <n v="10.974"/>
    <n v="5720528.2759055207"/>
    <s v="Routine"/>
    <s v="Both"/>
    <n v="521280.14178107533"/>
  </r>
  <r>
    <x v="0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4R21/Matrix-M "/>
    <n v="3.9"/>
    <n v="978666.31814547081"/>
    <s v="Routine"/>
    <s v="Both"/>
    <n v="250940.08157576175"/>
  </r>
  <r>
    <x v="0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4RTS,S/AS01"/>
    <n v="10.974"/>
    <n v="5374392.3420078913"/>
    <s v="Routine"/>
    <s v="Both"/>
    <n v="489738.68616802362"/>
  </r>
  <r>
    <x v="0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4RTS,S/AS01"/>
    <n v="10.974"/>
    <n v="5614138.2533315625"/>
    <s v="Routine"/>
    <s v="Both"/>
    <n v="511585.40671875002"/>
  </r>
  <r>
    <x v="0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4R21/Matrix-M "/>
    <n v="3.9"/>
    <n v="410050.84535811294"/>
    <s v="Routine"/>
    <s v="Both"/>
    <n v="105141.24239951614"/>
  </r>
  <r>
    <x v="0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4R21/Matrix-M "/>
    <n v="3.9"/>
    <n v="300350.13288244989"/>
    <s v="Routine"/>
    <s v="Both"/>
    <n v="77012.854585243564"/>
  </r>
  <r>
    <x v="1"/>
    <x v="0"/>
    <s v="BFA"/>
    <s v="AFRO"/>
    <s v="SSA"/>
    <s v="Low Income"/>
    <s v="UNICEF"/>
    <s v="Initial self-financing"/>
    <s v="Eligible"/>
    <s v="Malaria"/>
    <s v="Malaria"/>
    <s v="-"/>
    <s v="Jan 2024"/>
    <s v="CYVAC"/>
    <x v="1"/>
    <s v="2025R21/Matrix-M "/>
    <n v="3.9"/>
    <n v="2268649.6557609676"/>
    <s v="Routine"/>
    <s v="Both"/>
    <n v="581705.0399387097"/>
  </r>
  <r>
    <x v="1"/>
    <x v="0"/>
    <s v="BFA"/>
    <s v="AFRO"/>
    <s v="SSA"/>
    <s v="Low Income"/>
    <s v="UNICEF"/>
    <s v="Initial self-financing"/>
    <s v="Eligible"/>
    <s v="Malaria"/>
    <s v="Malaria"/>
    <s v="Jan 2024"/>
    <s v="Jan 2024"/>
    <s v="RTS,S/AS01"/>
    <x v="0"/>
    <s v="2025RTS,S/AS01"/>
    <n v="10.974"/>
    <n v="6731075.889223217"/>
    <s v="Routine"/>
    <s v="Both"/>
    <n v="613365.7635523252"/>
  </r>
  <r>
    <x v="1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25RTS,S/AS01"/>
    <n v="10.974"/>
    <n v="1956751.0538880352"/>
    <s v="Routine"/>
    <s v="Both"/>
    <n v="178307.91451503875"/>
  </r>
  <r>
    <x v="1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5R21/Matrix-M "/>
    <n v="3.9"/>
    <n v="1430384.6235622095"/>
    <s v="Routine"/>
    <s v="Both"/>
    <n v="366765.28809287422"/>
  </r>
  <r>
    <x v="1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5R21/Matrix-M "/>
    <n v="3.9"/>
    <n v="1300755.0043117437"/>
    <s v="Routine"/>
    <s v="Both"/>
    <n v="333526.92418249836"/>
  </r>
  <r>
    <x v="1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5R21/Matrix-M "/>
    <n v="3.9"/>
    <n v="21746480.768776022"/>
    <s v="Routine"/>
    <s v="Both"/>
    <n v="5576020.70994257"/>
  </r>
  <r>
    <x v="1"/>
    <x v="12"/>
    <s v="ETH"/>
    <s v="AFRO"/>
    <s v="SSA"/>
    <s v="Low Income"/>
    <s v="UNICEF"/>
    <s v="Initial self-financing"/>
    <s v="Eligible"/>
    <s v="Malaria"/>
    <s v="Malaria"/>
    <s v="-"/>
    <s v="-"/>
    <s v=""/>
    <x v="1"/>
    <s v="2025R21/Matrix-M "/>
    <n v="3.9"/>
    <n v="1894596.9014921531"/>
    <s v="Routine"/>
    <s v="Both"/>
    <n v="485794.07730568026"/>
  </r>
  <r>
    <x v="1"/>
    <x v="13"/>
    <s v="GNB"/>
    <s v="AFRO"/>
    <s v="SSA"/>
    <s v="Low Income"/>
    <s v="UNICEF"/>
    <s v="Initial self-financing"/>
    <s v="Eligible"/>
    <s v="Malaria"/>
    <s v="Malaria"/>
    <s v="-"/>
    <s v="-"/>
    <s v=""/>
    <x v="0"/>
    <s v="2025RTS,S/AS01"/>
    <n v="10.974"/>
    <n v="25081.519217906251"/>
    <s v="Routine"/>
    <s v="Both"/>
    <n v="2285.540296875"/>
  </r>
  <r>
    <x v="1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5RTS,S/AS01"/>
    <n v="10.974"/>
    <n v="3042720.7629538504"/>
    <s v="Routine"/>
    <s v="Both"/>
    <n v="277266.33524274197"/>
  </r>
  <r>
    <x v="1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5RTS,S/AS01"/>
    <n v="10.974"/>
    <n v="6123322.466661457"/>
    <s v="Routine"/>
    <s v="Both"/>
    <n v="557984.5513633549"/>
  </r>
  <r>
    <x v="1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25R21/Matrix-M "/>
    <n v="3.9"/>
    <n v="1315397.4762329638"/>
    <s v="Routine"/>
    <s v="Both"/>
    <n v="337281.40416229842"/>
  </r>
  <r>
    <x v="1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5R21/Matrix-M "/>
    <n v="3.9"/>
    <n v="4476457.5337479087"/>
    <s v="Routine"/>
    <s v="Both"/>
    <n v="1147809.6240379254"/>
  </r>
  <r>
    <x v="1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5RTS,S/AS01"/>
    <n v="10.974"/>
    <n v="6897715.8408850152"/>
    <s v="Routine"/>
    <s v="Both"/>
    <n v="628550.74183388148"/>
  </r>
  <r>
    <x v="1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5RTS,S/AS01"/>
    <n v="10.974"/>
    <n v="7835065.6365654981"/>
    <s v="Routine"/>
    <s v="Both"/>
    <n v="713966.25082608871"/>
  </r>
  <r>
    <x v="1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5R21/Matrix-M "/>
    <n v="3.9"/>
    <n v="1551742.7056285113"/>
    <s v="Routine"/>
    <s v="Both"/>
    <n v="397882.74503295164"/>
  </r>
  <r>
    <x v="1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5R21/Matrix-M "/>
    <n v="3.9"/>
    <n v="2699728.0807458572"/>
    <s v="Routine"/>
    <s v="Both"/>
    <n v="692237.96942201466"/>
  </r>
  <r>
    <x v="1"/>
    <x v="15"/>
    <s v="TGO"/>
    <s v="AFRO"/>
    <s v="SSA"/>
    <s v="Low Income"/>
    <s v="UNICEF"/>
    <s v="Initial self-financing"/>
    <s v="Eligible"/>
    <s v="Malaria"/>
    <s v="Malaria"/>
    <s v="-"/>
    <s v="-"/>
    <s v=""/>
    <x v="1"/>
    <s v="2025R21/Matrix-M "/>
    <n v="3.9"/>
    <n v="366690.32769556454"/>
    <s v="Routine"/>
    <s v="Both"/>
    <n v="94023.160947580647"/>
  </r>
  <r>
    <x v="1"/>
    <x v="16"/>
    <s v="UGA"/>
    <s v="AFRO"/>
    <s v="SSA"/>
    <s v="Low Income"/>
    <s v="UNICEF"/>
    <s v="Initial self-financing"/>
    <s v="Eligible"/>
    <s v="Malaria"/>
    <s v="Malaria"/>
    <s v="-"/>
    <s v="-"/>
    <s v=""/>
    <x v="1"/>
    <s v="2025R21/Matrix-M "/>
    <n v="3.9"/>
    <n v="12683439.110935491"/>
    <s v="Routine"/>
    <s v="Both"/>
    <n v="3252163.874598844"/>
  </r>
  <r>
    <x v="2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26RTS,S/AS01"/>
    <n v="10.974"/>
    <n v="6783436.4289929466"/>
    <s v="Routine"/>
    <s v="Both"/>
    <n v="618137.09030371299"/>
  </r>
  <r>
    <x v="2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6R21/Matrix-M "/>
    <n v="3.9"/>
    <n v="1552778.0256808302"/>
    <s v="Routine"/>
    <s v="Both"/>
    <n v="398148.21171303338"/>
  </r>
  <r>
    <x v="2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6R21/Matrix-M "/>
    <n v="3.9"/>
    <n v="3764764.3809210653"/>
    <s v="Routine"/>
    <s v="Both"/>
    <n v="965324.20023617067"/>
  </r>
  <r>
    <x v="2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6R21/Matrix-M "/>
    <n v="3.9"/>
    <n v="31554368.707653299"/>
    <s v="Routine"/>
    <s v="Both"/>
    <n v="8090863.7711931542"/>
  </r>
  <r>
    <x v="2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26R21/Matrix-M "/>
    <n v="3.9"/>
    <n v="46621.593937016136"/>
    <s v="Routine"/>
    <s v="Both"/>
    <n v="11954.254855645164"/>
  </r>
  <r>
    <x v="2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6RTS,S/AS01"/>
    <n v="10.974"/>
    <n v="4831770.6204315508"/>
    <s v="Routine"/>
    <s v="Both"/>
    <n v="440292.56610456994"/>
  </r>
  <r>
    <x v="2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6RTS,S/AS01"/>
    <n v="10.974"/>
    <n v="16290382.554627175"/>
    <s v="Routine"/>
    <s v="Both"/>
    <n v="1484452.5746880968"/>
  </r>
  <r>
    <x v="2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26R21/Matrix-M "/>
    <n v="3.9"/>
    <n v="5136557.4418709986"/>
    <s v="Routine"/>
    <s v="Both"/>
    <n v="1317066.0107361535"/>
  </r>
  <r>
    <x v="2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6R21/Matrix-M "/>
    <n v="3.9"/>
    <n v="8787908.4885266479"/>
    <s v="Routine"/>
    <s v="Both"/>
    <n v="2253309.8688529865"/>
  </r>
  <r>
    <x v="2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6RTS,S/AS01"/>
    <n v="10.974"/>
    <n v="19257087.195338901"/>
    <s v="Routine"/>
    <s v="Both"/>
    <n v="1754791.9806213686"/>
  </r>
  <r>
    <x v="2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6RTS,S/AS01"/>
    <n v="10.974"/>
    <n v="7779675.3011336569"/>
    <s v="Routine"/>
    <s v="Both"/>
    <n v="708918.83553250018"/>
  </r>
  <r>
    <x v="2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6R21/Matrix-M "/>
    <n v="3.9"/>
    <n v="3057813.7951223031"/>
    <s v="Routine"/>
    <s v="Both"/>
    <n v="784054.81926212902"/>
  </r>
  <r>
    <x v="2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6R21/Matrix-M "/>
    <n v="3.9"/>
    <n v="7108868.1731789615"/>
    <s v="Routine"/>
    <s v="Both"/>
    <n v="1822786.7110715287"/>
  </r>
  <r>
    <x v="2"/>
    <x v="15"/>
    <s v="TGO"/>
    <s v="AFRO"/>
    <s v="SSA"/>
    <s v="Low Income"/>
    <s v="UNICEF"/>
    <s v="Initial self-financing"/>
    <s v="Eligible"/>
    <s v="Malaria"/>
    <s v="Malaria"/>
    <s v="-"/>
    <s v="-"/>
    <s v=""/>
    <x v="1"/>
    <s v="2026R21/Matrix-M "/>
    <n v="3.9"/>
    <n v="2576013.6268094764"/>
    <s v="Routine"/>
    <s v="Both"/>
    <n v="660516.31456653238"/>
  </r>
  <r>
    <x v="3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27RTS,S/AS01"/>
    <n v="10.974"/>
    <n v="7059924.9877048433"/>
    <s v="Routine"/>
    <s v="Both"/>
    <n v="643331.96534580307"/>
  </r>
  <r>
    <x v="3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7R21/Matrix-M "/>
    <n v="2.99"/>
    <n v="1258994.9026233165"/>
    <s v="Routine"/>
    <s v="Both"/>
    <n v="421068.52930545702"/>
  </r>
  <r>
    <x v="3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7R21/Matrix-M "/>
    <n v="2.99"/>
    <n v="2994393.7533436026"/>
    <s v="Routine"/>
    <s v="Both"/>
    <n v="1001469.4827236128"/>
  </r>
  <r>
    <x v="3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7R21/Matrix-M "/>
    <n v="2.99"/>
    <n v="25405804.399031777"/>
    <s v="Routine"/>
    <s v="Both"/>
    <n v="8496924.5481711626"/>
  </r>
  <r>
    <x v="3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27R21/Matrix-M "/>
    <n v="2.99"/>
    <n v="103196.6208670339"/>
    <s v="Routine"/>
    <s v="Both"/>
    <n v="34513.920022419363"/>
  </r>
  <r>
    <x v="3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7RTS,S/AS01"/>
    <n v="10.974"/>
    <n v="4938055.2496303506"/>
    <s v="Routine"/>
    <s v="Both"/>
    <n v="449977.69725080649"/>
  </r>
  <r>
    <x v="3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27TBD"/>
    <n v="2.99"/>
    <n v="135059.51446083875"/>
    <s v="Routine"/>
    <s v="Both"/>
    <n v="45170.406174193558"/>
  </r>
  <r>
    <x v="3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7RTS,S/AS01"/>
    <n v="10.974"/>
    <n v="17249087.812099136"/>
    <s v="Routine"/>
    <s v="Both"/>
    <n v="1571814.0889465224"/>
  </r>
  <r>
    <x v="3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27R21/Matrix-M "/>
    <n v="2.99"/>
    <n v="4155623.5989869544"/>
    <s v="Routine"/>
    <s v="Both"/>
    <n v="1389840.6685575098"/>
  </r>
  <r>
    <x v="3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7R21/Matrix-M "/>
    <n v="2.99"/>
    <n v="6968536.4600286605"/>
    <s v="Routine"/>
    <s v="Both"/>
    <n v="2330614.2006784817"/>
  </r>
  <r>
    <x v="3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7RTS,S/AS01"/>
    <n v="10.974"/>
    <n v="20301125.949840792"/>
    <s v="Routine"/>
    <s v="Both"/>
    <n v="1849929.4650848177"/>
  </r>
  <r>
    <x v="3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7RTS,S/AS01"/>
    <n v="10.974"/>
    <n v="7722466.7209653603"/>
    <s v="Routine"/>
    <s v="Both"/>
    <n v="703705.73363999999"/>
  </r>
  <r>
    <x v="3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7R21/Matrix-M "/>
    <n v="2.99"/>
    <n v="2443162.4979728432"/>
    <s v="Routine"/>
    <s v="Both"/>
    <n v="817111.20333539904"/>
  </r>
  <r>
    <x v="3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7R21/Matrix-M "/>
    <n v="2.99"/>
    <n v="5919758.066606123"/>
    <s v="Routine"/>
    <s v="Both"/>
    <n v="1979852.1961893388"/>
  </r>
  <r>
    <x v="4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28RTS,S/AS01"/>
    <n v="5"/>
    <n v="3199570.5211625802"/>
    <s v="Routine"/>
    <s v="Both"/>
    <n v="639914.10423251602"/>
  </r>
  <r>
    <x v="4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8R21/Matrix-M "/>
    <n v="2.99"/>
    <n v="1357042.717473171"/>
    <s v="Routine"/>
    <s v="Both"/>
    <n v="453860.44062647852"/>
  </r>
  <r>
    <x v="4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8R21/Matrix-M "/>
    <n v="2.99"/>
    <n v="2983490.551596106"/>
    <s v="Routine"/>
    <s v="Both"/>
    <n v="997822.92695521936"/>
  </r>
  <r>
    <x v="4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8R21/Matrix-M "/>
    <n v="2.99"/>
    <n v="26819896.605634682"/>
    <s v="Routine"/>
    <s v="Both"/>
    <n v="8969865.0854965486"/>
  </r>
  <r>
    <x v="4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28R21/Matrix-M "/>
    <n v="2.99"/>
    <n v="106200.62539254302"/>
    <s v="Routine"/>
    <s v="Both"/>
    <n v="35518.603810215056"/>
  </r>
  <r>
    <x v="4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8RTS,S/AS01"/>
    <n v="5"/>
    <n v="2268017.6689528227"/>
    <s v="Routine"/>
    <s v="Both"/>
    <n v="453603.53379056457"/>
  </r>
  <r>
    <x v="4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28TBD"/>
    <n v="2.99"/>
    <n v="407448.03301875491"/>
    <s v="Routine"/>
    <s v="Both"/>
    <n v="136270.24515677421"/>
  </r>
  <r>
    <x v="4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8RTS,S/AS01"/>
    <n v="5"/>
    <n v="7843848.7162531409"/>
    <s v="Routine"/>
    <s v="Both"/>
    <n v="1568769.7432506282"/>
  </r>
  <r>
    <x v="4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28R21/Matrix-M "/>
    <n v="2.99"/>
    <n v="4168252.6252022968"/>
    <s v="Routine"/>
    <s v="Both"/>
    <n v="1394064.4231445808"/>
  </r>
  <r>
    <x v="4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8R21/Matrix-M "/>
    <n v="2.99"/>
    <n v="7038823.8370158132"/>
    <s v="Routine"/>
    <s v="Both"/>
    <n v="2354121.6846206733"/>
  </r>
  <r>
    <x v="4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8RTS,S/AS01"/>
    <n v="5"/>
    <n v="9246129.448004581"/>
    <s v="Routine"/>
    <s v="Both"/>
    <n v="1849225.8896009163"/>
  </r>
  <r>
    <x v="4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8RTS,S/AS01"/>
    <n v="5"/>
    <n v="3525867.6525625004"/>
    <s v="Routine"/>
    <s v="Both"/>
    <n v="705173.53051250009"/>
  </r>
  <r>
    <x v="4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28TBD"/>
    <n v="2.99"/>
    <n v="304666.12943947746"/>
    <s v="Routine"/>
    <s v="Both"/>
    <n v="101895.02656838711"/>
  </r>
  <r>
    <x v="4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8R21/Matrix-M "/>
    <n v="2.99"/>
    <n v="2480148.6211047256"/>
    <s v="Routine"/>
    <s v="Both"/>
    <n v="829481.14418218238"/>
  </r>
  <r>
    <x v="4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8R21/Matrix-M "/>
    <n v="2.99"/>
    <n v="6114869.2235558359"/>
    <s v="Routine"/>
    <s v="Both"/>
    <n v="2045106.7637310487"/>
  </r>
  <r>
    <x v="5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29RTS,S/AS01"/>
    <n v="5"/>
    <n v="3288651.8606222579"/>
    <s v="Routine"/>
    <s v="Both"/>
    <n v="657730.37212445156"/>
  </r>
  <r>
    <x v="5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29R21/Matrix-M "/>
    <n v="2.99"/>
    <n v="1456127.0021662"/>
    <s v="Routine"/>
    <s v="Both"/>
    <n v="486998.99737999996"/>
  </r>
  <r>
    <x v="5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29R21/Matrix-M "/>
    <n v="2.99"/>
    <n v="3061321.2482049852"/>
    <s v="Routine"/>
    <s v="Both"/>
    <n v="1023853.2602692258"/>
  </r>
  <r>
    <x v="5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29R21/Matrix-M "/>
    <n v="2.99"/>
    <n v="28496088.422256272"/>
    <s v="Routine"/>
    <s v="Both"/>
    <n v="9530464.3552696556"/>
  </r>
  <r>
    <x v="5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29R21/Matrix-M "/>
    <n v="2.99"/>
    <n v="104658.95419788217"/>
    <s v="Routine"/>
    <s v="Both"/>
    <n v="35002.994715010755"/>
  </r>
  <r>
    <x v="5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29RTS,S/AS01"/>
    <n v="5"/>
    <n v="2316412.4382788986"/>
    <s v="Routine"/>
    <s v="Both"/>
    <n v="463282.4876557797"/>
  </r>
  <r>
    <x v="5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29TBD"/>
    <n v="2.99"/>
    <n v="437846.92950826144"/>
    <s v="Routine"/>
    <s v="Both"/>
    <n v="146437.1001699871"/>
  </r>
  <r>
    <x v="5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29RTS,S/AS01"/>
    <n v="5"/>
    <n v="8043332.7491579996"/>
    <s v="Routine"/>
    <s v="Both"/>
    <n v="1608666.5498315999"/>
  </r>
  <r>
    <x v="5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29R21/Matrix-M "/>
    <n v="2.99"/>
    <n v="4307236.5745404894"/>
    <s v="Routine"/>
    <s v="Both"/>
    <n v="1440547.3493446452"/>
  </r>
  <r>
    <x v="5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29R21/Matrix-M "/>
    <n v="2.99"/>
    <n v="7242358.7394795194"/>
    <s v="Routine"/>
    <s v="Both"/>
    <n v="2422193.558354354"/>
  </r>
  <r>
    <x v="5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29RTS,S/AS01"/>
    <n v="5"/>
    <n v="9492719.773893021"/>
    <s v="Routine"/>
    <s v="Both"/>
    <n v="1898543.9547786042"/>
  </r>
  <r>
    <x v="5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29RTS,S/AS01"/>
    <n v="5"/>
    <n v="3522786.9913999997"/>
    <s v="Routine"/>
    <s v="Both"/>
    <n v="704557.39827999996"/>
  </r>
  <r>
    <x v="5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29TBD"/>
    <n v="2.99"/>
    <n v="923462.30979295284"/>
    <s v="Routine"/>
    <s v="Both"/>
    <n v="308850.27083376347"/>
  </r>
  <r>
    <x v="5"/>
    <x v="9"/>
    <s v="SSD"/>
    <s v="AFRO"/>
    <s v="SSA"/>
    <s v="Low Income"/>
    <s v="UNICEF"/>
    <s v="Initial self-financing"/>
    <s v="Eligible"/>
    <s v="Malaria"/>
    <s v="Malaria"/>
    <s v="Jul 2024"/>
    <s v="Jul 2024"/>
    <s v="CYVAC"/>
    <x v="1"/>
    <s v="2029R21/Matrix-M "/>
    <n v="2.99"/>
    <n v="2561753.1605034126"/>
    <s v="Routine"/>
    <s v="Both"/>
    <n v="856773.63227538881"/>
  </r>
  <r>
    <x v="5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29R21/Matrix-M "/>
    <n v="2.99"/>
    <n v="6439231.1517348066"/>
    <s v="Routine"/>
    <s v="Both"/>
    <n v="2153589.0139581291"/>
  </r>
  <r>
    <x v="6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0RTS,S/AS01"/>
    <n v="5"/>
    <n v="3383247.0975450003"/>
    <s v="Routine"/>
    <s v="Both"/>
    <n v="676649.41950900003"/>
  </r>
  <r>
    <x v="6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0R21/Matrix-M "/>
    <n v="2.99"/>
    <n v="1554359.7223554836"/>
    <s v="Routine"/>
    <s v="Both"/>
    <n v="519852.74995166669"/>
  </r>
  <r>
    <x v="6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0R21/Matrix-M "/>
    <n v="2.99"/>
    <n v="3141785.6816974785"/>
    <s v="Routine"/>
    <s v="Both"/>
    <n v="1050764.4420392904"/>
  </r>
  <r>
    <x v="6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0R21/Matrix-M "/>
    <n v="2.99"/>
    <n v="29178166.200100414"/>
    <s v="Routine"/>
    <s v="Both"/>
    <n v="9758584.0134115089"/>
  </r>
  <r>
    <x v="6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0R21/Matrix-M "/>
    <n v="2.99"/>
    <n v="106025.59801053163"/>
    <s v="Routine"/>
    <s v="Both"/>
    <n v="35460.066224258066"/>
  </r>
  <r>
    <x v="6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0RTS,S/AS01"/>
    <n v="5"/>
    <n v="2355484.5568987909"/>
    <s v="Routine"/>
    <s v="Both"/>
    <n v="471096.91137975815"/>
  </r>
  <r>
    <x v="6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0TBD"/>
    <n v="2.99"/>
    <n v="433553.58827183925"/>
    <s v="Routine"/>
    <s v="Both"/>
    <n v="145001.20009091613"/>
  </r>
  <r>
    <x v="6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0RTS,S/AS01"/>
    <n v="5"/>
    <n v="8224337.3935355898"/>
    <s v="Routine"/>
    <s v="Both"/>
    <n v="1644867.478707118"/>
  </r>
  <r>
    <x v="6"/>
    <x v="14"/>
    <s v="MLI"/>
    <s v="AFRO"/>
    <s v="SSA"/>
    <s v="Low Income"/>
    <s v="UNICEF"/>
    <s v="Initial self-financing"/>
    <s v="Eligible"/>
    <s v="Malaria"/>
    <s v="Malaria"/>
    <s v="-"/>
    <s v="-"/>
    <s v=""/>
    <x v="1"/>
    <s v="2030R21/Matrix-M "/>
    <n v="2.99"/>
    <n v="4438961.5221585892"/>
    <s v="Routine"/>
    <s v="Both"/>
    <n v="1484602.5157721033"/>
  </r>
  <r>
    <x v="6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0R21/Matrix-M "/>
    <n v="2.99"/>
    <n v="7432881.3436481375"/>
    <s v="Routine"/>
    <s v="Both"/>
    <n v="2485913.4928589086"/>
  </r>
  <r>
    <x v="6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0RTS,S/AS01"/>
    <n v="5"/>
    <n v="9740389.2295964584"/>
    <s v="Routine"/>
    <s v="Both"/>
    <n v="1948077.8459192917"/>
  </r>
  <r>
    <x v="6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0RTS,S/AS01"/>
    <n v="5"/>
    <n v="3529145.1420625001"/>
    <s v="Routine"/>
    <s v="Both"/>
    <n v="705829.02841250005"/>
  </r>
  <r>
    <x v="6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0TBD"/>
    <n v="2.99"/>
    <n v="995523.07331426407"/>
    <s v="Routine"/>
    <s v="Both"/>
    <n v="332950.86064022209"/>
  </r>
  <r>
    <x v="6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0R21/Matrix-M "/>
    <n v="2.99"/>
    <n v="6529872.8800286883"/>
    <s v="Routine"/>
    <s v="Both"/>
    <n v="2183903.9732537419"/>
  </r>
  <r>
    <x v="7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1RTS,S/AS01"/>
    <n v="5"/>
    <n v="3483090.9938469348"/>
    <s v="Routine"/>
    <s v="Both"/>
    <n v="696618.19876938697"/>
  </r>
  <r>
    <x v="7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1R21/Matrix-M "/>
    <n v="2.99"/>
    <n v="1651100.7743765973"/>
    <s v="Routine"/>
    <s v="Both"/>
    <n v="552207.61684836028"/>
  </r>
  <r>
    <x v="7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1R21/Matrix-M "/>
    <n v="2.99"/>
    <n v="3223172.3657309003"/>
    <s v="Routine"/>
    <s v="Both"/>
    <n v="1077984.0688063211"/>
  </r>
  <r>
    <x v="7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1R21/Matrix-M "/>
    <n v="2.99"/>
    <n v="30060767.174597289"/>
    <s v="Routine"/>
    <s v="Both"/>
    <n v="10053768.285818491"/>
  </r>
  <r>
    <x v="7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1R21/Matrix-M "/>
    <n v="2.99"/>
    <n v="107419.11464011982"/>
    <s v="Routine"/>
    <s v="Both"/>
    <n v="35926.125297698934"/>
  </r>
  <r>
    <x v="7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1RTS,S/AS01"/>
    <n v="5"/>
    <n v="2394886.5927592749"/>
    <s v="Routine"/>
    <s v="Both"/>
    <n v="478977.31855185493"/>
  </r>
  <r>
    <x v="7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1TBD"/>
    <n v="2.99"/>
    <n v="443550.37088043406"/>
    <s v="Routine"/>
    <s v="Both"/>
    <n v="148344.6056456301"/>
  </r>
  <r>
    <x v="7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1RTS,S/AS01"/>
    <n v="5"/>
    <n v="8380245.4326214362"/>
    <s v="Routine"/>
    <s v="Both"/>
    <n v="1676049.0865242872"/>
  </r>
  <r>
    <x v="7"/>
    <x v="14"/>
    <s v="MLI"/>
    <s v="AFRO"/>
    <s v="SSA"/>
    <s v="Low Income"/>
    <s v="UNICEF"/>
    <s v="Preparatory transition phase"/>
    <s v="Eligible"/>
    <s v="Malaria"/>
    <s v="Malaria"/>
    <s v="-"/>
    <s v="-"/>
    <s v=""/>
    <x v="1"/>
    <s v="2031R21/Matrix-M "/>
    <n v="2.99"/>
    <n v="4570222.7832743255"/>
    <s v="Routine"/>
    <s v="Both"/>
    <n v="1528502.6031017809"/>
  </r>
  <r>
    <x v="7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1R21/Matrix-M "/>
    <n v="2.99"/>
    <n v="7618826.926038078"/>
    <s v="Routine"/>
    <s v="Both"/>
    <n v="2548102.6508488553"/>
  </r>
  <r>
    <x v="7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1RTS,S/AS01"/>
    <n v="5"/>
    <n v="9960737.3584587779"/>
    <s v="Routine"/>
    <s v="Both"/>
    <n v="1992147.4716917556"/>
  </r>
  <r>
    <x v="7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1RTS,S/AS01"/>
    <n v="5"/>
    <n v="3542187.2908875011"/>
    <s v="Routine"/>
    <s v="Both"/>
    <n v="708437.45817750017"/>
  </r>
  <r>
    <x v="7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1TBD"/>
    <n v="2.99"/>
    <n v="1026496.5275374796"/>
    <s v="Routine"/>
    <s v="Both"/>
    <n v="343309.87543059519"/>
  </r>
  <r>
    <x v="7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1R21/Matrix-M "/>
    <n v="2.99"/>
    <n v="6649333.7012905637"/>
    <s v="Routine"/>
    <s v="Both"/>
    <n v="2223857.4251807905"/>
  </r>
  <r>
    <x v="8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2RTS,S/AS01"/>
    <n v="5"/>
    <n v="3584850.5228425805"/>
    <s v="Routine"/>
    <s v="Both"/>
    <n v="716970.10456851614"/>
  </r>
  <r>
    <x v="8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2R21/Matrix-M "/>
    <n v="2.99"/>
    <n v="1747037.9033209926"/>
    <s v="Routine"/>
    <s v="Both"/>
    <n v="584293.61315083364"/>
  </r>
  <r>
    <x v="8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2R21/Matrix-M "/>
    <n v="2.99"/>
    <n v="3302162.3004476223"/>
    <s v="Routine"/>
    <s v="Both"/>
    <n v="1104402.1071731178"/>
  </r>
  <r>
    <x v="8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2R21/Matrix-M "/>
    <n v="2.99"/>
    <n v="30885433.868707996"/>
    <s v="Routine"/>
    <s v="Both"/>
    <n v="10329576.544718392"/>
  </r>
  <r>
    <x v="8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2R21/Matrix-M "/>
    <n v="2.99"/>
    <n v="108856.13094346218"/>
    <s v="Routine"/>
    <s v="Both"/>
    <n v="36406.732757010759"/>
  </r>
  <r>
    <x v="8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2RTS,S/AS01"/>
    <n v="5"/>
    <n v="2405235.8596209683"/>
    <s v="Routine"/>
    <s v="Both"/>
    <n v="481047.17192419368"/>
  </r>
  <r>
    <x v="8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2TBD"/>
    <n v="2.99"/>
    <n v="453280.43600190681"/>
    <s v="Routine"/>
    <s v="Both"/>
    <n v="151598.80802739356"/>
  </r>
  <r>
    <x v="8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2RTS,S/AS01"/>
    <n v="5"/>
    <n v="8540880.019373145"/>
    <s v="Routine"/>
    <s v="Both"/>
    <n v="1708176.0038746288"/>
  </r>
  <r>
    <x v="8"/>
    <x v="14"/>
    <s v="MLI"/>
    <s v="AFRO"/>
    <s v="SSA"/>
    <s v="Low Income"/>
    <s v="UNICEF"/>
    <s v="Preparatory transition phase"/>
    <s v="Eligible"/>
    <s v="Malaria"/>
    <s v="Malaria"/>
    <s v="-"/>
    <s v="-"/>
    <s v=""/>
    <x v="1"/>
    <s v="2032R21/Matrix-M "/>
    <n v="2.99"/>
    <n v="4704128.0658183191"/>
    <s v="Routine"/>
    <s v="Both"/>
    <n v="1573286.9785345548"/>
  </r>
  <r>
    <x v="8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2R21/Matrix-M "/>
    <n v="2.99"/>
    <n v="7796086.1598018222"/>
    <s v="Routine"/>
    <s v="Both"/>
    <n v="2607386.675519004"/>
  </r>
  <r>
    <x v="8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2RTS,S/AS01"/>
    <n v="5"/>
    <n v="10174463.093806593"/>
    <s v="Routine"/>
    <s v="Both"/>
    <n v="2034892.6187613185"/>
  </r>
  <r>
    <x v="8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2RTS,S/AS01"/>
    <n v="5"/>
    <n v="3555835.7993250005"/>
    <s v="Routine"/>
    <s v="Both"/>
    <n v="711167.15986500005"/>
  </r>
  <r>
    <x v="8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2TBD"/>
    <n v="2.99"/>
    <n v="1047781.899263696"/>
    <s v="Routine"/>
    <s v="Both"/>
    <n v="350428.72885073442"/>
  </r>
  <r>
    <x v="8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2R21/Matrix-M "/>
    <n v="2.99"/>
    <n v="6777361.0663488545"/>
    <s v="Routine"/>
    <s v="Both"/>
    <n v="2266675.9419226935"/>
  </r>
  <r>
    <x v="9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3RTS,S/AS01"/>
    <n v="5"/>
    <n v="3689686.1476616119"/>
    <s v="Routine"/>
    <s v="Both"/>
    <n v="737937.22953232238"/>
  </r>
  <r>
    <x v="9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3R21/Matrix-M "/>
    <n v="2.99"/>
    <n v="1805521.1001050447"/>
    <s v="Routine"/>
    <s v="Both"/>
    <n v="603853.2107374731"/>
  </r>
  <r>
    <x v="9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3R21/Matrix-M "/>
    <n v="2.99"/>
    <n v="3377222.9524295856"/>
    <s v="Routine"/>
    <s v="Both"/>
    <n v="1129506.0041570519"/>
  </r>
  <r>
    <x v="9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3R21/Matrix-M "/>
    <n v="2.99"/>
    <n v="31705107.351877883"/>
    <s v="Routine"/>
    <s v="Both"/>
    <n v="10603714.833403973"/>
  </r>
  <r>
    <x v="9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3R21/Matrix-M "/>
    <n v="2.99"/>
    <n v="110377.56177307099"/>
    <s v="Routine"/>
    <s v="Both"/>
    <n v="36915.572499354843"/>
  </r>
  <r>
    <x v="9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3RTS,S/AS01"/>
    <n v="5"/>
    <n v="2418889.0206774194"/>
    <s v="Routine"/>
    <s v="Both"/>
    <n v="483777.80413548392"/>
  </r>
  <r>
    <x v="9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3TBD"/>
    <n v="2.99"/>
    <n v="462843.02854378644"/>
    <s v="Routine"/>
    <s v="Both"/>
    <n v="154796.99951297205"/>
  </r>
  <r>
    <x v="9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3RTS,S/AS01"/>
    <n v="5"/>
    <n v="8592198.2317305803"/>
    <s v="Routine"/>
    <s v="Both"/>
    <n v="1718439.646346116"/>
  </r>
  <r>
    <x v="9"/>
    <x v="14"/>
    <s v="MLI"/>
    <s v="AFRO"/>
    <s v="SSA"/>
    <s v="Low Income"/>
    <s v="UNICEF"/>
    <s v="Preparatory transition phase"/>
    <s v="Eligible"/>
    <s v="Malaria"/>
    <s v="Malaria"/>
    <s v="-"/>
    <s v="-"/>
    <s v=""/>
    <x v="1"/>
    <s v="2033R21/Matrix-M "/>
    <n v="2.99"/>
    <n v="4837636.9161519818"/>
    <s v="Routine"/>
    <s v="Both"/>
    <n v="1617938.7679438065"/>
  </r>
  <r>
    <x v="9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3R21/Matrix-M "/>
    <n v="2.99"/>
    <n v="7968773.8603300685"/>
    <s v="Routine"/>
    <s v="Both"/>
    <n v="2665141.7593077151"/>
  </r>
  <r>
    <x v="9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3RTS,S/AS01"/>
    <n v="5"/>
    <n v="10412687.171850985"/>
    <s v="Routine"/>
    <s v="Both"/>
    <n v="2082537.4343701971"/>
  </r>
  <r>
    <x v="9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3RTS,S/AS01"/>
    <n v="5"/>
    <n v="3566779.2437500004"/>
    <s v="Routine"/>
    <s v="Both"/>
    <n v="713355.84875000012"/>
  </r>
  <r>
    <x v="9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3TBD"/>
    <n v="2.99"/>
    <n v="1076303.2110489986"/>
    <s v="Routine"/>
    <s v="Both"/>
    <n v="359967.62911337742"/>
  </r>
  <r>
    <x v="9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3R21/Matrix-M "/>
    <n v="2.99"/>
    <n v="6907184.2642811006"/>
    <s v="Routine"/>
    <s v="Both"/>
    <n v="2310095.0716659199"/>
  </r>
  <r>
    <x v="10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4RTS,S/AS01"/>
    <n v="5"/>
    <n v="3777791.0138059678"/>
    <s v="Routine"/>
    <s v="Both"/>
    <n v="755558.2027611935"/>
  </r>
  <r>
    <x v="10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4R21/Matrix-M "/>
    <n v="2.99"/>
    <n v="1831100.6979260636"/>
    <s v="Routine"/>
    <s v="Both"/>
    <n v="612408.26017594093"/>
  </r>
  <r>
    <x v="10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4R21/Matrix-M "/>
    <n v="2.99"/>
    <n v="3455734.9200096098"/>
    <s v="Routine"/>
    <s v="Both"/>
    <n v="1155764.1872941838"/>
  </r>
  <r>
    <x v="10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4R21/Matrix-M "/>
    <n v="2.99"/>
    <n v="32571753.787361629"/>
    <s v="Routine"/>
    <s v="Both"/>
    <n v="10893563.139585828"/>
  </r>
  <r>
    <x v="10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4R21/Matrix-M "/>
    <n v="2.99"/>
    <n v="111927.00211689089"/>
    <s v="Routine"/>
    <s v="Both"/>
    <n v="37433.779972204306"/>
  </r>
  <r>
    <x v="10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4RTS,S/AS01"/>
    <n v="5"/>
    <n v="2435142.3768387097"/>
    <s v="Routine"/>
    <s v="Both"/>
    <n v="487028.47536774195"/>
  </r>
  <r>
    <x v="10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4TBD"/>
    <n v="2.99"/>
    <n v="472761.30594812182"/>
    <s v="Routine"/>
    <s v="Both"/>
    <n v="158114.14914652903"/>
  </r>
  <r>
    <x v="10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4RTS,S/AS01"/>
    <n v="5"/>
    <n v="8659985.7566988394"/>
    <s v="Routine"/>
    <s v="Both"/>
    <n v="1731997.1513397677"/>
  </r>
  <r>
    <x v="10"/>
    <x v="14"/>
    <s v="MLI"/>
    <s v="AFRO"/>
    <s v="SSA"/>
    <s v="Low Income"/>
    <s v="UNICEF"/>
    <s v="Preparatory transition phase"/>
    <s v="Eligible"/>
    <s v="Malaria"/>
    <s v="Malaria"/>
    <s v="-"/>
    <s v="-"/>
    <s v=""/>
    <x v="1"/>
    <s v="2034R21/Matrix-M "/>
    <n v="2.99"/>
    <n v="4964790.9849259602"/>
    <s v="Routine"/>
    <s v="Both"/>
    <n v="1660465.2123498195"/>
  </r>
  <r>
    <x v="10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4R21/Matrix-M "/>
    <n v="2.99"/>
    <n v="8146882.1876365524"/>
    <s v="Routine"/>
    <s v="Both"/>
    <n v="2724709.7617513551"/>
  </r>
  <r>
    <x v="10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4RTS,S/AS01"/>
    <n v="5"/>
    <n v="10481831.531772098"/>
    <s v="Routine"/>
    <s v="Both"/>
    <n v="2096366.3063544196"/>
  </r>
  <r>
    <x v="10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4RTS,S/AS01"/>
    <n v="5"/>
    <n v="3574572.1043125005"/>
    <s v="Routine"/>
    <s v="Both"/>
    <n v="714914.42086250009"/>
  </r>
  <r>
    <x v="10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4TBD"/>
    <n v="2.99"/>
    <n v="1105581.0752705638"/>
    <s v="Routine"/>
    <s v="Both"/>
    <n v="369759.55694667681"/>
  </r>
  <r>
    <x v="10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4R21/Matrix-M "/>
    <n v="2.99"/>
    <n v="7045276.4830109729"/>
    <s v="Routine"/>
    <s v="Both"/>
    <n v="2356279.7602043385"/>
  </r>
  <r>
    <x v="11"/>
    <x v="11"/>
    <s v="BDI"/>
    <s v="AFRO"/>
    <s v="SSA"/>
    <s v="Low Income"/>
    <s v="UNICEF"/>
    <s v="Initial self-financing"/>
    <s v="Eligible"/>
    <s v="Malaria"/>
    <s v="Malaria"/>
    <s v="-"/>
    <s v="-"/>
    <s v=""/>
    <x v="0"/>
    <s v="2035RTS,S/AS01"/>
    <n v="5"/>
    <n v="3863459.2718298384"/>
    <s v="Routine"/>
    <s v="Both"/>
    <n v="772691.85436596768"/>
  </r>
  <r>
    <x v="11"/>
    <x v="1"/>
    <s v="CAF"/>
    <s v="AFRO"/>
    <s v="SSA"/>
    <s v="Low Income"/>
    <s v="UNICEF"/>
    <s v="Initial self-financing"/>
    <s v="Eligible"/>
    <s v="Malaria"/>
    <s v="Malaria"/>
    <s v="Jan 2024"/>
    <s v="Jan 2024"/>
    <s v="CYVAC"/>
    <x v="1"/>
    <s v="2035R21/Matrix-M "/>
    <n v="2.99"/>
    <n v="1863304.7282885753"/>
    <s v="Routine"/>
    <s v="Both"/>
    <n v="623178.83889250003"/>
  </r>
  <r>
    <x v="11"/>
    <x v="2"/>
    <s v="TCD"/>
    <s v="AFRO"/>
    <s v="SSA"/>
    <s v="Low Income"/>
    <s v="UNICEF"/>
    <s v="Initial self-financing"/>
    <s v="Eligible"/>
    <s v="Malaria"/>
    <s v="Malaria"/>
    <s v="Oct 2024"/>
    <s v="Oct 2024"/>
    <s v="CYVAC"/>
    <x v="1"/>
    <s v="2035R21/Matrix-M "/>
    <n v="2.99"/>
    <n v="3534814.0618889686"/>
    <s v="Routine"/>
    <s v="Both"/>
    <n v="1182212.0608324308"/>
  </r>
  <r>
    <x v="11"/>
    <x v="3"/>
    <s v="COD"/>
    <s v="AFRO"/>
    <s v="SSA"/>
    <s v="Low Income"/>
    <s v="UNICEF"/>
    <s v="Initial self-financing"/>
    <s v="Eligible"/>
    <s v="Malaria"/>
    <s v="Malaria"/>
    <s v="Nov 2024"/>
    <s v="Nov 2024"/>
    <s v="CYVAC"/>
    <x v="1"/>
    <s v="2035R21/Matrix-M "/>
    <n v="2.99"/>
    <n v="33379842.123913914"/>
    <s v="Routine"/>
    <s v="Both"/>
    <n v="11163826.797295623"/>
  </r>
  <r>
    <x v="11"/>
    <x v="17"/>
    <s v="GMB"/>
    <s v="AFRO"/>
    <s v="SSA"/>
    <s v="Low Income"/>
    <s v="UNICEF"/>
    <s v="Initial self-financing"/>
    <s v="Eligible"/>
    <s v="Malaria"/>
    <s v="Malaria"/>
    <s v="-"/>
    <s v="-"/>
    <s v=""/>
    <x v="1"/>
    <s v="2035R21/Matrix-M "/>
    <n v="2.99"/>
    <n v="113459.62485260142"/>
    <s v="Routine"/>
    <s v="Both"/>
    <n v="37946.362826956996"/>
  </r>
  <r>
    <x v="11"/>
    <x v="4"/>
    <s v="LBR"/>
    <s v="AFRO"/>
    <s v="SSA"/>
    <s v="Low Income"/>
    <s v="UNICEF"/>
    <s v="Initial self-financing"/>
    <s v="Eligible"/>
    <s v="Malaria"/>
    <s v="Malaria"/>
    <s v="Apr 2024"/>
    <s v="Apr 2024"/>
    <s v="RTS,S/AS01"/>
    <x v="0"/>
    <s v="2035RTS,S/AS01"/>
    <n v="5"/>
    <n v="2450991.9215806453"/>
    <s v="Routine"/>
    <s v="Both"/>
    <n v="490198.38431612903"/>
  </r>
  <r>
    <x v="11"/>
    <x v="18"/>
    <s v="MDG"/>
    <s v="AFRO"/>
    <s v="SSA"/>
    <s v="Low Income"/>
    <s v="UNICEF"/>
    <s v="Initial self-financing"/>
    <s v="Eligible"/>
    <s v="Malaria"/>
    <s v="Malaria"/>
    <s v="-"/>
    <s v="-"/>
    <s v=""/>
    <x v="2"/>
    <s v="2035TBD"/>
    <n v="2.99"/>
    <n v="483108.19017621293"/>
    <s v="Routine"/>
    <s v="Both"/>
    <n v="161574.6455438839"/>
  </r>
  <r>
    <x v="11"/>
    <x v="5"/>
    <s v="MWI"/>
    <s v="AFRO"/>
    <s v="SSA"/>
    <s v="Low Income"/>
    <s v="UNICEF"/>
    <s v="Initial self-financing"/>
    <s v="Eligible"/>
    <s v="Malaria"/>
    <s v="Malaria"/>
    <s v="Jan 2024"/>
    <s v="Jan 2024"/>
    <s v="RTS,S/AS01"/>
    <x v="0"/>
    <s v="2035RTS,S/AS01"/>
    <n v="5"/>
    <n v="8719595.3436010312"/>
    <s v="Routine"/>
    <s v="Both"/>
    <n v="1743919.0687202062"/>
  </r>
  <r>
    <x v="11"/>
    <x v="14"/>
    <s v="MLI"/>
    <s v="AFRO"/>
    <s v="SSA"/>
    <s v="Low Income"/>
    <s v="UNICEF"/>
    <s v="Preparatory transition phase"/>
    <s v="Eligible"/>
    <s v="Malaria"/>
    <s v="Malaria"/>
    <s v="-"/>
    <s v="-"/>
    <s v=""/>
    <x v="1"/>
    <s v="2035R21/Matrix-M "/>
    <n v="2.99"/>
    <n v="5074719.1515274458"/>
    <s v="Routine"/>
    <s v="Both"/>
    <n v="1697230.4854606839"/>
  </r>
  <r>
    <x v="11"/>
    <x v="6"/>
    <s v="MOZ"/>
    <s v="AFRO"/>
    <s v="SSA"/>
    <s v="Low Income"/>
    <s v="UNICEF"/>
    <s v="Initial self-financing"/>
    <s v="Eligible"/>
    <s v="Malaria"/>
    <s v="Malaria"/>
    <s v="Jul 2024"/>
    <s v="Jul 2024"/>
    <s v="CYVAC"/>
    <x v="1"/>
    <s v="2035R21/Matrix-M "/>
    <n v="2.99"/>
    <n v="8329652.3533829739"/>
    <s v="Routine"/>
    <s v="Both"/>
    <n v="2785836.9074859442"/>
  </r>
  <r>
    <x v="11"/>
    <x v="7"/>
    <s v="NER"/>
    <s v="AFRO"/>
    <s v="SSA"/>
    <s v="Low Income"/>
    <s v="UNICEF"/>
    <s v="Initial self-financing"/>
    <s v="Eligible"/>
    <s v="Malaria"/>
    <s v="Malaria"/>
    <s v="Jul 2024"/>
    <s v="Jul 2024"/>
    <s v="RTS,S/AS01"/>
    <x v="0"/>
    <s v="2035RTS,S/AS01"/>
    <n v="5"/>
    <n v="10561222.825509438"/>
    <s v="Routine"/>
    <s v="Both"/>
    <n v="2112244.5651018876"/>
  </r>
  <r>
    <x v="11"/>
    <x v="8"/>
    <s v="SLE"/>
    <s v="AFRO"/>
    <s v="SSA"/>
    <s v="Low Income"/>
    <s v="UNICEF"/>
    <s v="Initial self-financing"/>
    <s v="Eligible"/>
    <s v="Malaria"/>
    <s v="Malaria"/>
    <s v="Mar 2024"/>
    <s v="Mar 2024"/>
    <s v="RTS,S/AS01"/>
    <x v="0"/>
    <s v="2035RTS,S/AS01"/>
    <n v="5"/>
    <n v="3581485.158562501"/>
    <s v="Routine"/>
    <s v="Both"/>
    <n v="716297.03171250015"/>
  </r>
  <r>
    <x v="11"/>
    <x v="19"/>
    <s v="SOM"/>
    <s v="EMRO"/>
    <s v="SSA"/>
    <s v="Low Income"/>
    <s v="UNICEF"/>
    <s v="Initial self-financing"/>
    <s v="Eligible"/>
    <s v="Malaria"/>
    <s v="Malaria"/>
    <s v="-"/>
    <s v="-"/>
    <s v=""/>
    <x v="2"/>
    <s v="2035TBD"/>
    <n v="2.99"/>
    <n v="1134935.2149774991"/>
    <s v="Routine"/>
    <s v="Both"/>
    <n v="379576.9949757522"/>
  </r>
  <r>
    <x v="11"/>
    <x v="10"/>
    <s v="SDN"/>
    <s v="EMRO"/>
    <s v="MENA"/>
    <s v="Low Income"/>
    <s v="UNICEF"/>
    <s v="Initial self-financing"/>
    <s v="Eligible"/>
    <s v="Malaria"/>
    <s v="Malaria"/>
    <s v="Nov 2024"/>
    <s v="Nov 2024"/>
    <s v="CYVAC"/>
    <x v="1"/>
    <s v="2035R21/Matrix-M "/>
    <n v="2.99"/>
    <n v="7183495.3683554102"/>
    <s v="Routine"/>
    <s v="Both"/>
    <n v="2402506.812159"/>
  </r>
  <r>
    <x v="0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4RTS,S/AS01"/>
    <n v="10.974"/>
    <n v="1865175.2833879692"/>
    <s v="Routine"/>
    <s v="Both"/>
    <n v="169963.12041078633"/>
  </r>
  <r>
    <x v="0"/>
    <x v="21"/>
    <s v="CMR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4RTS,S/AS01"/>
    <n v="10.974"/>
    <n v="5905378.7944425009"/>
    <s v="Routine"/>
    <s v="Both"/>
    <n v="538124.54842741939"/>
  </r>
  <r>
    <x v="0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4R21/Matrix-M "/>
    <n v="3.9"/>
    <n v="1192454.3321555443"/>
    <s v="Routine"/>
    <s v="Both"/>
    <n v="305757.5210655242"/>
  </r>
  <r>
    <x v="0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4R21/Matrix-M "/>
    <n v="3.9"/>
    <n v="4409693.2966052983"/>
    <s v="Routine"/>
    <s v="Both"/>
    <n v="1130690.5888731536"/>
  </r>
  <r>
    <x v="0"/>
    <x v="24"/>
    <s v="KEN"/>
    <s v="AFRO"/>
    <s v="SSA"/>
    <s v="Lower Middle Income"/>
    <s v="UNICEF"/>
    <s v="Accelerated transition phase"/>
    <s v="Transitioning"/>
    <s v="Malaria"/>
    <s v="Malaria"/>
    <s v="Jan 2024"/>
    <s v="Jan 2024"/>
    <s v="RTS,S/AS01"/>
    <x v="0"/>
    <s v="2024RTS,S/AS01"/>
    <n v="10.974"/>
    <n v="4468225.2672395529"/>
    <s v="Routine"/>
    <s v="Both"/>
    <n v="407164.68628025812"/>
  </r>
  <r>
    <x v="0"/>
    <x v="25"/>
    <s v="NGA"/>
    <s v="AFRO"/>
    <s v="SSA"/>
    <s v="Lower Middle Income"/>
    <s v="UNICEF"/>
    <s v="Accelerated transition phase"/>
    <s v="Transitioning"/>
    <s v="Malaria"/>
    <s v="Malaria"/>
    <s v="Nov 2024"/>
    <s v="Nov 2024"/>
    <s v="CYVAC"/>
    <x v="1"/>
    <s v="2024R21/Matrix-M "/>
    <n v="3.9"/>
    <n v="943966.55743883527"/>
    <s v="Routine"/>
    <s v="Both"/>
    <n v="242042.70703559878"/>
  </r>
  <r>
    <x v="1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5RTS,S/AS01"/>
    <n v="10.974"/>
    <n v="2762101.3205825808"/>
    <s v="Routine"/>
    <s v="Both"/>
    <n v="251695.03559163303"/>
  </r>
  <r>
    <x v="1"/>
    <x v="21"/>
    <s v="CMR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5RTS,S/AS01"/>
    <n v="10.974"/>
    <n v="6348593.5893140864"/>
    <s v="Routine"/>
    <s v="Both"/>
    <n v="578512.26438072592"/>
  </r>
  <r>
    <x v="1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5R21/Matrix-M "/>
    <n v="3.9"/>
    <n v="5435716.8230805844"/>
    <s v="Routine"/>
    <s v="Both"/>
    <n v="1393773.5443796371"/>
  </r>
  <r>
    <x v="1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5R21/Matrix-M "/>
    <n v="3.9"/>
    <n v="8684875.4816970713"/>
    <s v="Routine"/>
    <s v="Both"/>
    <n v="2226891.1491530952"/>
  </r>
  <r>
    <x v="1"/>
    <x v="26"/>
    <s v="GIN"/>
    <s v="AFRO"/>
    <s v="SSA"/>
    <s v="Lower Middle Income"/>
    <s v="UNICEF"/>
    <s v="Preparatory transition phase"/>
    <s v="Eligible"/>
    <s v="Malaria"/>
    <s v="Malaria"/>
    <s v="-"/>
    <s v="-"/>
    <s v=""/>
    <x v="0"/>
    <s v="2025RTS,S/AS01"/>
    <n v="10.974"/>
    <n v="609639.76171920262"/>
    <s v="Routine"/>
    <s v="Both"/>
    <n v="55553.103856315167"/>
  </r>
  <r>
    <x v="1"/>
    <x v="24"/>
    <s v="KEN"/>
    <s v="AFRO"/>
    <s v="SSA"/>
    <s v="Lower Middle Income"/>
    <s v="UNICEF"/>
    <s v="Accelerated transition phase"/>
    <s v="Transitioning"/>
    <s v="Malaria"/>
    <s v="Malaria"/>
    <s v="Jan 2024"/>
    <s v="Jan 2024"/>
    <s v="RTS,S/AS01"/>
    <x v="0"/>
    <s v="2025RTS,S/AS01"/>
    <n v="10.974"/>
    <n v="5026003.9400412589"/>
    <s v="Routine"/>
    <s v="Both"/>
    <n v="457991.9755824001"/>
  </r>
  <r>
    <x v="1"/>
    <x v="25"/>
    <s v="NGA"/>
    <s v="AFRO"/>
    <s v="SSA"/>
    <s v="Lower Middle Income"/>
    <s v="UNICEF"/>
    <s v="Accelerated transition phase"/>
    <s v="Transitioning"/>
    <s v="Malaria"/>
    <s v="Malaria"/>
    <s v="Nov 2024"/>
    <s v="Nov 2024"/>
    <s v="CYVAC"/>
    <x v="1"/>
    <s v="2025R21/Matrix-M "/>
    <n v="3.9"/>
    <n v="12003704.560955087"/>
    <s v="Routine"/>
    <s v="Both"/>
    <n v="3077872.964347458"/>
  </r>
  <r>
    <x v="1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25R21/Matrix-M "/>
    <n v="3.9"/>
    <n v="630512.16642253136"/>
    <s v="Routine"/>
    <s v="Both"/>
    <n v="161669.78626218752"/>
  </r>
  <r>
    <x v="2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6RTS,S/AS01"/>
    <n v="10.974"/>
    <n v="7973377.3019680493"/>
    <s v="Routine"/>
    <s v="Both"/>
    <n v="726569.82886532252"/>
  </r>
  <r>
    <x v="2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26R21/Matrix-M "/>
    <n v="3.9"/>
    <n v="8469634.2960567418"/>
    <s v="Routine"/>
    <s v="Both"/>
    <n v="2171701.1015530108"/>
  </r>
  <r>
    <x v="2"/>
    <x v="0"/>
    <s v="BFA"/>
    <s v="AFRO"/>
    <s v="SSA"/>
    <s v="Lower Middle Income"/>
    <s v="UNICEF"/>
    <s v="Initial self-financing"/>
    <s v="Eligible"/>
    <s v="Malaria"/>
    <s v="Malaria"/>
    <s v="Jan 2024"/>
    <s v="Jan 2024"/>
    <s v="RTS,S/AS01"/>
    <x v="0"/>
    <s v="2026RTS,S/AS01"/>
    <n v="10.974"/>
    <n v="987293.77331200021"/>
    <s v="Routine"/>
    <s v="Both"/>
    <n v="89966.627784946249"/>
  </r>
  <r>
    <x v="2"/>
    <x v="21"/>
    <s v="CMR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6RTS,S/AS01"/>
    <n v="10.974"/>
    <n v="17434351.418554489"/>
    <s v="Routine"/>
    <s v="Both"/>
    <n v="1588696.1380129841"/>
  </r>
  <r>
    <x v="2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26TBD"/>
    <n v="3.9"/>
    <n v="476636.93072963704"/>
    <s v="Routine"/>
    <s v="Both"/>
    <n v="122214.59762298386"/>
  </r>
  <r>
    <x v="2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6R21/Matrix-M "/>
    <n v="3.9"/>
    <n v="8724365.0091832429"/>
    <s v="Routine"/>
    <s v="Both"/>
    <n v="2237016.6690213443"/>
  </r>
  <r>
    <x v="2"/>
    <x v="12"/>
    <s v="ETH"/>
    <s v="AFRO"/>
    <s v="SSA"/>
    <s v="Lower Middle Income"/>
    <s v="UNICEF"/>
    <s v="Initial self-financing"/>
    <s v="Eligible"/>
    <s v="Malaria"/>
    <s v="Malaria"/>
    <s v="-"/>
    <s v="-"/>
    <s v=""/>
    <x v="1"/>
    <s v="2026R21/Matrix-M "/>
    <n v="3.9"/>
    <n v="16870172.283956911"/>
    <s v="Routine"/>
    <s v="Both"/>
    <n v="4325685.2010145932"/>
  </r>
  <r>
    <x v="2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6R21/Matrix-M "/>
    <n v="3.9"/>
    <n v="8836593.2379158866"/>
    <s v="Routine"/>
    <s v="Both"/>
    <n v="2265793.1379271504"/>
  </r>
  <r>
    <x v="2"/>
    <x v="26"/>
    <s v="GIN"/>
    <s v="AFRO"/>
    <s v="SSA"/>
    <s v="Lower Middle Income"/>
    <s v="UNICEF"/>
    <s v="Preparatory transition phase"/>
    <s v="Eligible"/>
    <s v="Malaria"/>
    <s v="Malaria"/>
    <s v="-"/>
    <s v="-"/>
    <s v=""/>
    <x v="0"/>
    <s v="2026RTS,S/AS01"/>
    <n v="10.974"/>
    <n v="3144001.2313364469"/>
    <s v="Routine"/>
    <s v="Both"/>
    <n v="286495.46485661081"/>
  </r>
  <r>
    <x v="2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26RTS,S/AS01"/>
    <n v="10.974"/>
    <n v="165165.8607816938"/>
    <s v="Routine"/>
    <s v="Both"/>
    <n v="15050.652522479842"/>
  </r>
  <r>
    <x v="2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6R21/Matrix-M "/>
    <n v="3.9"/>
    <n v="3884728.0358514199"/>
    <s v="Routine"/>
    <s v="Both"/>
    <n v="996084.11175677436"/>
  </r>
  <r>
    <x v="2"/>
    <x v="24"/>
    <s v="KEN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6RTS,S/AS01"/>
    <n v="10.974"/>
    <n v="889070.56283888663"/>
    <s v="Routine"/>
    <s v="Both"/>
    <n v="81016.089196180663"/>
  </r>
  <r>
    <x v="2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26TBD"/>
    <n v="3.9"/>
    <n v="253655.45135963714"/>
    <s v="Routine"/>
    <s v="Both"/>
    <n v="65039.859322983881"/>
  </r>
  <r>
    <x v="2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26R21/Matrix-M "/>
    <n v="3.9"/>
    <n v="44792426.862132549"/>
    <s v="Routine"/>
    <s v="Both"/>
    <n v="11485237.656957064"/>
  </r>
  <r>
    <x v="2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26TBD"/>
    <n v="3.9"/>
    <n v="1874402.9203166128"/>
    <s v="Routine"/>
    <s v="Both"/>
    <n v="480616.13341451611"/>
  </r>
  <r>
    <x v="2"/>
    <x v="16"/>
    <s v="UGA"/>
    <s v="AFRO"/>
    <s v="SSA"/>
    <s v="Lower Middle Income"/>
    <s v="UNICEF"/>
    <s v="Initial self-financing"/>
    <s v="Eligible"/>
    <s v="Malaria"/>
    <s v="Malaria"/>
    <s v="-"/>
    <s v="-"/>
    <s v=""/>
    <x v="1"/>
    <s v="2026R21/Matrix-M "/>
    <n v="3.9"/>
    <n v="17635523.299086936"/>
    <s v="Routine"/>
    <s v="Both"/>
    <n v="4521929.0510479324"/>
  </r>
  <r>
    <x v="2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26R21/Matrix-M "/>
    <n v="3.9"/>
    <n v="3661389.4470735718"/>
    <s v="Routine"/>
    <s v="Both"/>
    <n v="938817.8069419415"/>
  </r>
  <r>
    <x v="3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27TBD"/>
    <n v="2.99"/>
    <n v="1791027.0225783004"/>
    <s v="Routine"/>
    <s v="Both"/>
    <n v="599005.6931700001"/>
  </r>
  <r>
    <x v="3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7RTS,S/AS01"/>
    <n v="10.974"/>
    <n v="8711080.933024019"/>
    <s v="Routine"/>
    <s v="Both"/>
    <n v="793792.68571387092"/>
  </r>
  <r>
    <x v="3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27R21/Matrix-M "/>
    <n v="2.99"/>
    <n v="6673826.8499093084"/>
    <s v="Routine"/>
    <s v="Both"/>
    <n v="2232049.1136820428"/>
  </r>
  <r>
    <x v="3"/>
    <x v="21"/>
    <s v="CMR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7RTS,S/AS01"/>
    <n v="10.974"/>
    <n v="18423455.093811631"/>
    <s v="Routine"/>
    <s v="Both"/>
    <n v="1678827.692164355"/>
  </r>
  <r>
    <x v="3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27TBD"/>
    <n v="2.99"/>
    <n v="1073857.1227565685"/>
    <s v="Routine"/>
    <s v="Both"/>
    <n v="359149.53938346769"/>
  </r>
  <r>
    <x v="3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7R21/Matrix-M "/>
    <n v="2.99"/>
    <n v="6831797.0501688961"/>
    <s v="Routine"/>
    <s v="Both"/>
    <n v="2284881.9565782258"/>
  </r>
  <r>
    <x v="3"/>
    <x v="12"/>
    <s v="ETH"/>
    <s v="AFRO"/>
    <s v="SSA"/>
    <s v="Lower Middle Income"/>
    <s v="UNICEF"/>
    <s v="Initial self-financing"/>
    <s v="Eligible"/>
    <s v="Malaria"/>
    <s v="Malaria"/>
    <s v="-"/>
    <s v="-"/>
    <s v=""/>
    <x v="1"/>
    <s v="2027R21/Matrix-M "/>
    <n v="2.99"/>
    <n v="13734591.027517365"/>
    <s v="Routine"/>
    <s v="Both"/>
    <n v="4593508.7048553061"/>
  </r>
  <r>
    <x v="3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7R21/Matrix-M "/>
    <n v="2.99"/>
    <n v="6756426.6930204583"/>
    <s v="Routine"/>
    <s v="Both"/>
    <n v="2259674.4792710561"/>
  </r>
  <r>
    <x v="3"/>
    <x v="26"/>
    <s v="GIN"/>
    <s v="AFRO"/>
    <s v="SSA"/>
    <s v="Lower Middle Income"/>
    <s v="UNICEF"/>
    <s v="Preparatory transition phase"/>
    <s v="Eligible"/>
    <s v="Malaria"/>
    <s v="Malaria"/>
    <s v="-"/>
    <s v="-"/>
    <s v=""/>
    <x v="0"/>
    <s v="2027RTS,S/AS01"/>
    <n v="10.974"/>
    <n v="4766595.8050801987"/>
    <s v="Routine"/>
    <s v="Both"/>
    <n v="434353.54520504817"/>
  </r>
  <r>
    <x v="3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27RTS,S/AS01"/>
    <n v="10.974"/>
    <n v="300156.04613787762"/>
    <s v="Routine"/>
    <s v="Both"/>
    <n v="27351.562432830109"/>
  </r>
  <r>
    <x v="3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7R21/Matrix-M "/>
    <n v="2.99"/>
    <n v="3192309.6497986633"/>
    <s v="Routine"/>
    <s v="Both"/>
    <n v="1067662.0902336666"/>
  </r>
  <r>
    <x v="3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27TBD"/>
    <n v="2.99"/>
    <n v="562163.13320879289"/>
    <s v="Routine"/>
    <s v="Both"/>
    <n v="188014.42582233873"/>
  </r>
  <r>
    <x v="3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27R21/Matrix-M "/>
    <n v="2.99"/>
    <n v="35827472.822257593"/>
    <s v="Routine"/>
    <s v="Both"/>
    <n v="11982432.38202595"/>
  </r>
  <r>
    <x v="3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27TBD"/>
    <n v="2.99"/>
    <n v="4202059.5330706043"/>
    <s v="Routine"/>
    <s v="Both"/>
    <n v="1405371.0812945163"/>
  </r>
  <r>
    <x v="3"/>
    <x v="15"/>
    <s v="TGO"/>
    <s v="AFRO"/>
    <s v="SSA"/>
    <s v="Lower Middle Income"/>
    <s v="UNICEF"/>
    <s v="Initial self-financing"/>
    <s v="Eligible"/>
    <s v="Malaria"/>
    <s v="Malaria"/>
    <s v="-"/>
    <s v="-"/>
    <s v=""/>
    <x v="1"/>
    <s v="2027R21/Matrix-M "/>
    <n v="2.99"/>
    <n v="2096236.6856205286"/>
    <s v="Routine"/>
    <s v="Both"/>
    <n v="701082.50355201622"/>
  </r>
  <r>
    <x v="3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27R21/Matrix-M "/>
    <n v="2.99"/>
    <n v="13333814.809533335"/>
    <s v="Routine"/>
    <s v="Both"/>
    <n v="4459469.8359643258"/>
  </r>
  <r>
    <x v="3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27R21/Matrix-M "/>
    <n v="2.99"/>
    <n v="2974998.964093578"/>
    <s v="Routine"/>
    <s v="Both"/>
    <n v="994982.93113497586"/>
  </r>
  <r>
    <x v="4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28TBD"/>
    <n v="2.99"/>
    <n v="5466562.4357047668"/>
    <s v="Routine"/>
    <s v="Both"/>
    <n v="1828281.7510718282"/>
  </r>
  <r>
    <x v="4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8RTS,S/AS01"/>
    <n v="5"/>
    <n v="4086124.2956954306"/>
    <s v="Routine"/>
    <s v="Both"/>
    <n v="817224.8591390861"/>
  </r>
  <r>
    <x v="4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28R21/Matrix-M "/>
    <n v="2.99"/>
    <n v="6522412.2978812531"/>
    <s v="Routine"/>
    <s v="Both"/>
    <n v="2181408.7952780109"/>
  </r>
  <r>
    <x v="4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8R21/Matrix-M "/>
    <n v="2.99"/>
    <n v="4995487.3017257424"/>
    <s v="Routine"/>
    <s v="Both"/>
    <n v="1670731.5390387098"/>
  </r>
  <r>
    <x v="4"/>
    <x v="21"/>
    <s v="CMR"/>
    <s v="AFRO"/>
    <s v="SSA"/>
    <s v="Lower Middle Income"/>
    <s v="UNICEF"/>
    <s v="Preparatory transition phase"/>
    <s v="Eligible"/>
    <s v="Malaria"/>
    <s v="Malaria"/>
    <s v="Jan 2024"/>
    <s v="Jan 2024"/>
    <s v="RTS,S/AS01"/>
    <x v="0"/>
    <s v="2028RTS,S/AS01"/>
    <n v="5"/>
    <n v="1574311.9908464514"/>
    <s v="Routine"/>
    <s v="Both"/>
    <n v="314862.39816929027"/>
  </r>
  <r>
    <x v="4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28TBD"/>
    <n v="2.99"/>
    <n v="1126517.2194212119"/>
    <s v="Routine"/>
    <s v="Both"/>
    <n v="376761.61184655916"/>
  </r>
  <r>
    <x v="4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8R21/Matrix-M "/>
    <n v="2.99"/>
    <n v="6912140.7463565841"/>
    <s v="Routine"/>
    <s v="Both"/>
    <n v="2311752.7579787904"/>
  </r>
  <r>
    <x v="4"/>
    <x v="12"/>
    <s v="ETH"/>
    <s v="AFRO"/>
    <s v="SSA"/>
    <s v="Lower Middle Income"/>
    <s v="UNICEF"/>
    <s v="Initial self-financing"/>
    <s v="Eligible"/>
    <s v="Malaria"/>
    <s v="Malaria"/>
    <s v="-"/>
    <s v="-"/>
    <s v=""/>
    <x v="1"/>
    <s v="2028R21/Matrix-M "/>
    <n v="2.99"/>
    <n v="13532298.895771462"/>
    <s v="Routine"/>
    <s v="Both"/>
    <n v="4525852.473502161"/>
  </r>
  <r>
    <x v="4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8R21/Matrix-M "/>
    <n v="2.99"/>
    <n v="6879007.5471162312"/>
    <s v="Routine"/>
    <s v="Both"/>
    <n v="2300671.420440211"/>
  </r>
  <r>
    <x v="4"/>
    <x v="26"/>
    <s v="GIN"/>
    <s v="AFRO"/>
    <s v="SSA"/>
    <s v="Lower Middle Income"/>
    <s v="UNICEF"/>
    <s v="Preparatory transition phase"/>
    <s v="Eligible"/>
    <s v="Malaria"/>
    <s v="Malaria"/>
    <s v="-"/>
    <s v="-"/>
    <s v=""/>
    <x v="0"/>
    <s v="2028RTS,S/AS01"/>
    <n v="5"/>
    <n v="2277661.7538199998"/>
    <s v="Routine"/>
    <s v="Both"/>
    <n v="455532.35076399997"/>
  </r>
  <r>
    <x v="4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28RTS,S/AS01"/>
    <n v="5"/>
    <n v="139703.89096441399"/>
    <s v="Routine"/>
    <s v="Both"/>
    <n v="27940.778192882801"/>
  </r>
  <r>
    <x v="4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8R21/Matrix-M "/>
    <n v="2.99"/>
    <n v="3129949.6065755519"/>
    <s v="Routine"/>
    <s v="Both"/>
    <n v="1046805.8884868065"/>
  </r>
  <r>
    <x v="4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28TBD"/>
    <n v="2.99"/>
    <n v="579574.68034340616"/>
    <s v="Routine"/>
    <s v="Both"/>
    <n v="193837.68573358064"/>
  </r>
  <r>
    <x v="4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28R21/Matrix-M "/>
    <n v="2.99"/>
    <n v="35549840.868679062"/>
    <s v="Routine"/>
    <s v="Both"/>
    <n v="11889578.88584584"/>
  </r>
  <r>
    <x v="4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28TBD"/>
    <n v="2.99"/>
    <n v="4374965.5112188328"/>
    <s v="Routine"/>
    <s v="Both"/>
    <n v="1463199.1676317165"/>
  </r>
  <r>
    <x v="4"/>
    <x v="15"/>
    <s v="TGO"/>
    <s v="AFRO"/>
    <s v="SSA"/>
    <s v="Lower Middle Income"/>
    <s v="UNICEF"/>
    <s v="Initial self-financing"/>
    <s v="Eligible"/>
    <s v="Malaria"/>
    <s v="Malaria"/>
    <s v="-"/>
    <s v="-"/>
    <s v=""/>
    <x v="1"/>
    <s v="2028R21/Matrix-M "/>
    <n v="2.99"/>
    <n v="2075407.2391114701"/>
    <s v="Routine"/>
    <s v="Both"/>
    <n v="694116.13348209695"/>
  </r>
  <r>
    <x v="4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28R21/Matrix-M "/>
    <n v="2.99"/>
    <n v="13263374.475401713"/>
    <s v="Routine"/>
    <s v="Both"/>
    <n v="4435911.1957865255"/>
  </r>
  <r>
    <x v="4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28R21/Matrix-M "/>
    <n v="2.99"/>
    <n v="2945153.3294104435"/>
    <s v="Routine"/>
    <s v="Both"/>
    <n v="985001.11351519846"/>
  </r>
  <r>
    <x v="5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29TBD"/>
    <n v="2.99"/>
    <n v="5949298.5261657368"/>
    <s v="Routine"/>
    <s v="Both"/>
    <n v="1989731.9485504134"/>
  </r>
  <r>
    <x v="5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29RTS,S/AS01"/>
    <n v="5"/>
    <n v="4310843.306686827"/>
    <s v="Routine"/>
    <s v="Both"/>
    <n v="862168.6613373654"/>
  </r>
  <r>
    <x v="5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29R21/Matrix-M "/>
    <n v="2.99"/>
    <n v="6574240.0312153082"/>
    <s v="Routine"/>
    <s v="Both"/>
    <n v="2198742.4853562904"/>
  </r>
  <r>
    <x v="5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9R21/Matrix-M "/>
    <n v="2.99"/>
    <n v="5367105.7489767028"/>
    <s v="Routine"/>
    <s v="Both"/>
    <n v="1795018.6451427098"/>
  </r>
  <r>
    <x v="5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29TBD"/>
    <n v="2.99"/>
    <n v="1133830.2293697658"/>
    <s v="Routine"/>
    <s v="Both"/>
    <n v="379207.43457182799"/>
  </r>
  <r>
    <x v="5"/>
    <x v="22"/>
    <s v="CIV"/>
    <s v="AFRO"/>
    <s v="SSA"/>
    <s v="Lower Middle Income"/>
    <s v="UNICEF"/>
    <s v="Accelerated transition phase"/>
    <s v="Transitioning"/>
    <s v="Malaria"/>
    <s v="Malaria"/>
    <s v="Jul 2024"/>
    <s v="Jul 2024"/>
    <s v="CYVAC"/>
    <x v="1"/>
    <s v="2029R21/Matrix-M "/>
    <n v="2.99"/>
    <n v="7101990.2741931118"/>
    <s v="Routine"/>
    <s v="Both"/>
    <n v="2375247.5833421778"/>
  </r>
  <r>
    <x v="5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29R21/Matrix-M "/>
    <n v="2.99"/>
    <n v="13822413.485721223"/>
    <s v="Routine"/>
    <s v="Both"/>
    <n v="4622880.7644552579"/>
  </r>
  <r>
    <x v="5"/>
    <x v="23"/>
    <s v="GHA"/>
    <s v="AFRO"/>
    <s v="SSA"/>
    <s v="Lower Middle Income"/>
    <s v="UNICEF"/>
    <s v="Accelerated transition phase"/>
    <s v="Transitioning"/>
    <s v="Malaria"/>
    <s v="Malaria"/>
    <s v="Jan 2024"/>
    <s v="Jan 2024"/>
    <s v="CYVAC"/>
    <x v="1"/>
    <s v="2029R21/Matrix-M "/>
    <n v="2.99"/>
    <n v="6915353.6617627004"/>
    <s v="Routine"/>
    <s v="Both"/>
    <n v="2312827.3116263212"/>
  </r>
  <r>
    <x v="5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29RTS,S/AS01"/>
    <n v="5"/>
    <n v="2367376.0240888712"/>
    <s v="Routine"/>
    <s v="Both"/>
    <n v="473475.20481777424"/>
  </r>
  <r>
    <x v="5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29RTS,S/AS01"/>
    <n v="5"/>
    <n v="140045.67481246774"/>
    <s v="Routine"/>
    <s v="Both"/>
    <n v="28009.134962493546"/>
  </r>
  <r>
    <x v="5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29R21/Matrix-M "/>
    <n v="2.99"/>
    <n v="3156400.4820652828"/>
    <s v="Routine"/>
    <s v="Both"/>
    <n v="1055652.3351388904"/>
  </r>
  <r>
    <x v="5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29TBD"/>
    <n v="2.99"/>
    <n v="572355.27274978848"/>
    <s v="Routine"/>
    <s v="Both"/>
    <n v="191423.16814374196"/>
  </r>
  <r>
    <x v="5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29R21/Matrix-M "/>
    <n v="2.99"/>
    <n v="36380432.046802454"/>
    <s v="Routine"/>
    <s v="Both"/>
    <n v="12167368.577525903"/>
  </r>
  <r>
    <x v="5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29TBD"/>
    <n v="2.99"/>
    <n v="4368332.3375307452"/>
    <s v="Routine"/>
    <s v="Both"/>
    <n v="1460980.7148932258"/>
  </r>
  <r>
    <x v="5"/>
    <x v="15"/>
    <s v="TGO"/>
    <s v="AFRO"/>
    <s v="SSA"/>
    <s v="Lower Middle Income"/>
    <s v="UNICEF"/>
    <s v="Initial self-financing"/>
    <s v="Eligible"/>
    <s v="Malaria"/>
    <s v="Malaria"/>
    <s v="-"/>
    <s v="-"/>
    <s v=""/>
    <x v="1"/>
    <s v="2029R21/Matrix-M "/>
    <n v="2.99"/>
    <n v="2128774.2732778518"/>
    <s v="Routine"/>
    <s v="Both"/>
    <n v="711964.6398922581"/>
  </r>
  <r>
    <x v="5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29R21/Matrix-M "/>
    <n v="2.99"/>
    <n v="13319003.213280201"/>
    <s v="Routine"/>
    <s v="Both"/>
    <n v="4454516.1248428766"/>
  </r>
  <r>
    <x v="5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29R21/Matrix-M "/>
    <n v="2.99"/>
    <n v="3016719.7816510936"/>
    <s v="Routine"/>
    <s v="Both"/>
    <n v="1008936.3818231082"/>
  </r>
  <r>
    <x v="6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0TBD"/>
    <n v="2.99"/>
    <n v="6051760.8350491803"/>
    <s v="Routine"/>
    <s v="Both"/>
    <n v="2024000.2792806623"/>
  </r>
  <r>
    <x v="6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0RTS,S/AS01"/>
    <n v="5"/>
    <n v="4392962.6112053758"/>
    <s v="Routine"/>
    <s v="Both"/>
    <n v="878592.52224107517"/>
  </r>
  <r>
    <x v="6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0R21/Matrix-M "/>
    <n v="2.99"/>
    <n v="6632503.7882624129"/>
    <s v="Routine"/>
    <s v="Both"/>
    <n v="2218228.6917265593"/>
  </r>
  <r>
    <x v="6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0R21/Matrix-M "/>
    <n v="2.99"/>
    <n v="5275597.7717655832"/>
    <s v="Routine"/>
    <s v="Both"/>
    <n v="1764413.9704901616"/>
  </r>
  <r>
    <x v="6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30TBD"/>
    <n v="2.99"/>
    <n v="1172253.7341506195"/>
    <s v="Routine"/>
    <s v="Both"/>
    <n v="392058.10506709677"/>
  </r>
  <r>
    <x v="6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0R21/Matrix-M "/>
    <n v="2.99"/>
    <n v="7310636.5545323808"/>
    <s v="Routine"/>
    <s v="Both"/>
    <n v="2445028.9480041405"/>
  </r>
  <r>
    <x v="6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0R21/Matrix-M "/>
    <n v="2.99"/>
    <n v="14106365.337770013"/>
    <s v="Routine"/>
    <s v="Both"/>
    <n v="4717847.9390535159"/>
  </r>
  <r>
    <x v="6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0R21/Matrix-M "/>
    <n v="2.99"/>
    <n v="6967223.4235512642"/>
    <s v="Routine"/>
    <s v="Both"/>
    <n v="2330175.0580439009"/>
  </r>
  <r>
    <x v="6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0RTS,S/AS01"/>
    <n v="5"/>
    <n v="2484975.4258824191"/>
    <s v="Routine"/>
    <s v="Both"/>
    <n v="496995.08517648384"/>
  </r>
  <r>
    <x v="6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0RTS,S/AS01"/>
    <n v="5"/>
    <n v="142696.51432305915"/>
    <s v="Routine"/>
    <s v="Both"/>
    <n v="28539.302864611829"/>
  </r>
  <r>
    <x v="6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0R21/Matrix-M "/>
    <n v="2.99"/>
    <n v="3187547.3229789748"/>
    <s v="Routine"/>
    <s v="Both"/>
    <n v="1066069.3387889548"/>
  </r>
  <r>
    <x v="6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0TBD"/>
    <n v="2.99"/>
    <n v="580817.54395321559"/>
    <s v="Routine"/>
    <s v="Both"/>
    <n v="194253.35918167746"/>
  </r>
  <r>
    <x v="6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0R21/Matrix-M "/>
    <n v="2.99"/>
    <n v="37182688.625332721"/>
    <s v="Routine"/>
    <s v="Both"/>
    <n v="12435681.814492548"/>
  </r>
  <r>
    <x v="6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0TBD"/>
    <n v="2.99"/>
    <n v="4482326.8247642824"/>
    <s v="Routine"/>
    <s v="Both"/>
    <n v="1499105.961459626"/>
  </r>
  <r>
    <x v="6"/>
    <x v="15"/>
    <s v="TGO"/>
    <s v="AFRO"/>
    <s v="SSA"/>
    <s v="Lower Middle Income"/>
    <s v="UNICEF"/>
    <s v="Initial self-financing"/>
    <s v="Eligible"/>
    <s v="Malaria"/>
    <s v="Malaria"/>
    <s v="-"/>
    <s v="-"/>
    <s v=""/>
    <x v="1"/>
    <s v="2030R21/Matrix-M "/>
    <n v="2.99"/>
    <n v="2185642.4024054091"/>
    <s v="Routine"/>
    <s v="Both"/>
    <n v="730984.08107204316"/>
  </r>
  <r>
    <x v="6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0R21/Matrix-M "/>
    <n v="2.99"/>
    <n v="13366246.298680849"/>
    <s v="Routine"/>
    <s v="Both"/>
    <n v="4470316.4878531266"/>
  </r>
  <r>
    <x v="6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0R21/Matrix-M "/>
    <n v="2.99"/>
    <n v="3055574.221684501"/>
    <s v="Routine"/>
    <s v="Both"/>
    <n v="1021931.1778209032"/>
  </r>
  <r>
    <x v="7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1TBD"/>
    <n v="2.99"/>
    <n v="6211906.308913365"/>
    <s v="Routine"/>
    <s v="Both"/>
    <n v="2077560.6384325633"/>
  </r>
  <r>
    <x v="7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1RTS,S/AS01"/>
    <n v="5"/>
    <n v="4499857.8185693547"/>
    <s v="Routine"/>
    <s v="Both"/>
    <n v="899971.56371387094"/>
  </r>
  <r>
    <x v="7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1R21/Matrix-M "/>
    <n v="2.99"/>
    <n v="6702412.0176871363"/>
    <s v="Routine"/>
    <s v="Both"/>
    <n v="2241609.3704639249"/>
  </r>
  <r>
    <x v="7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1R21/Matrix-M "/>
    <n v="2.99"/>
    <n v="5403750.6286150645"/>
    <s v="Routine"/>
    <s v="Both"/>
    <n v="1807274.4577307906"/>
  </r>
  <r>
    <x v="7"/>
    <x v="28"/>
    <s v="COG"/>
    <s v="AFRO"/>
    <s v="SSA"/>
    <s v="Lower Middle Income"/>
    <s v="UNICEF"/>
    <s v="Accelerated transition phase"/>
    <s v="Transitioning"/>
    <s v="Malaria"/>
    <s v="Malaria"/>
    <s v="-"/>
    <s v="-"/>
    <s v=""/>
    <x v="2"/>
    <s v="2031TBD"/>
    <n v="2.99"/>
    <n v="1210387.2215110143"/>
    <s v="Routine"/>
    <s v="Both"/>
    <n v="404811.77976956993"/>
  </r>
  <r>
    <x v="7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1R21/Matrix-M "/>
    <n v="2.99"/>
    <n v="7536897.5845047897"/>
    <s v="Routine"/>
    <s v="Both"/>
    <n v="2520701.5332791936"/>
  </r>
  <r>
    <x v="7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1R21/Matrix-M "/>
    <n v="2.99"/>
    <n v="14376821.957844388"/>
    <s v="Routine"/>
    <s v="Both"/>
    <n v="4808301.6581419352"/>
  </r>
  <r>
    <x v="7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1R21/Matrix-M "/>
    <n v="2.99"/>
    <n v="7020998.1008730419"/>
    <s v="Routine"/>
    <s v="Both"/>
    <n v="2348159.899957539"/>
  </r>
  <r>
    <x v="7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1RTS,S/AS01"/>
    <n v="5"/>
    <n v="2560603.7022683872"/>
    <s v="Routine"/>
    <s v="Both"/>
    <n v="512120.74045367743"/>
  </r>
  <r>
    <x v="7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1RTS,S/AS01"/>
    <n v="5"/>
    <n v="145320.14158655377"/>
    <s v="Routine"/>
    <s v="Both"/>
    <n v="29064.028317310756"/>
  </r>
  <r>
    <x v="7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1R21/Matrix-M "/>
    <n v="2.99"/>
    <n v="3217489.3129895767"/>
    <s v="Routine"/>
    <s v="Both"/>
    <n v="1076083.3822707613"/>
  </r>
  <r>
    <x v="7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1TBD"/>
    <n v="2.99"/>
    <n v="589894.61826450587"/>
    <s v="Routine"/>
    <s v="Both"/>
    <n v="197289.16998812906"/>
  </r>
  <r>
    <x v="7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1R21/Matrix-M "/>
    <n v="2.99"/>
    <n v="37942635.286867075"/>
    <s v="Routine"/>
    <s v="Both"/>
    <n v="12689844.577547517"/>
  </r>
  <r>
    <x v="7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1TBD"/>
    <n v="2.99"/>
    <n v="4600585.4112436175"/>
    <s v="Routine"/>
    <s v="Both"/>
    <n v="1538657.3281751228"/>
  </r>
  <r>
    <x v="7"/>
    <x v="15"/>
    <s v="TGO"/>
    <s v="AFRO"/>
    <s v="SSA"/>
    <s v="Lower Middle Income"/>
    <s v="UNICEF"/>
    <s v="Preparatory transition phase"/>
    <s v="Eligible"/>
    <s v="Malaria"/>
    <s v="Malaria"/>
    <s v="-"/>
    <s v="-"/>
    <s v=""/>
    <x v="1"/>
    <s v="2031R21/Matrix-M "/>
    <n v="2.99"/>
    <n v="2245728.8255470288"/>
    <s v="Routine"/>
    <s v="Both"/>
    <n v="751079.87476489251"/>
  </r>
  <r>
    <x v="7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1R21/Matrix-M "/>
    <n v="2.99"/>
    <n v="13409164.277860738"/>
    <s v="Routine"/>
    <s v="Both"/>
    <n v="4484670.3270437252"/>
  </r>
  <r>
    <x v="7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1R21/Matrix-M "/>
    <n v="2.99"/>
    <n v="3097353.4559140317"/>
    <s v="Routine"/>
    <s v="Both"/>
    <n v="1035904.1658575356"/>
  </r>
  <r>
    <x v="8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2TBD"/>
    <n v="2.99"/>
    <n v="6399642.7644346263"/>
    <s v="Routine"/>
    <s v="Both"/>
    <n v="2140348.7506470322"/>
  </r>
  <r>
    <x v="8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2RTS,S/AS01"/>
    <n v="5"/>
    <n v="4603892.9552282263"/>
    <s v="Routine"/>
    <s v="Both"/>
    <n v="920778.59104564518"/>
  </r>
  <r>
    <x v="8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2R21/Matrix-M "/>
    <n v="2.99"/>
    <n v="6769513.9244521791"/>
    <s v="Routine"/>
    <s v="Both"/>
    <n v="2264051.4797498924"/>
  </r>
  <r>
    <x v="8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2R21/Matrix-M "/>
    <n v="2.99"/>
    <n v="5535059.2585311048"/>
    <s v="Routine"/>
    <s v="Both"/>
    <n v="1851190.3874685969"/>
  </r>
  <r>
    <x v="8"/>
    <x v="28"/>
    <s v="COG"/>
    <s v="AFRO"/>
    <s v="SSA"/>
    <s v="Lower Middle Income"/>
    <s v="UNICEF"/>
    <s v="Fully self-financing"/>
    <s v="Transitioned"/>
    <s v="Malaria"/>
    <s v="Malaria"/>
    <s v="-"/>
    <s v="-"/>
    <s v=""/>
    <x v="2"/>
    <s v="2032TBD"/>
    <n v="2.99"/>
    <n v="1248595.8416412424"/>
    <s v="Routine"/>
    <s v="Both"/>
    <n v="417590.58248870977"/>
  </r>
  <r>
    <x v="8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2R21/Matrix-M "/>
    <n v="2.99"/>
    <n v="7772531.0441021109"/>
    <s v="Routine"/>
    <s v="Both"/>
    <n v="2599508.7104020435"/>
  </r>
  <r>
    <x v="8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2R21/Matrix-M "/>
    <n v="2.99"/>
    <n v="14639435.806723824"/>
    <s v="Routine"/>
    <s v="Both"/>
    <n v="4896132.3768307101"/>
  </r>
  <r>
    <x v="8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2R21/Matrix-M "/>
    <n v="2.99"/>
    <n v="7075728.343805396"/>
    <s v="Routine"/>
    <s v="Both"/>
    <n v="2366464.3290319047"/>
  </r>
  <r>
    <x v="8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2RTS,S/AS01"/>
    <n v="5"/>
    <n v="2600586.7365720966"/>
    <s v="Routine"/>
    <s v="Both"/>
    <n v="520117.34731441928"/>
  </r>
  <r>
    <x v="8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2RTS,S/AS01"/>
    <n v="5"/>
    <n v="148007.41310069355"/>
    <s v="Routine"/>
    <s v="Both"/>
    <n v="29601.482620138711"/>
  </r>
  <r>
    <x v="8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2R21/Matrix-M "/>
    <n v="2.99"/>
    <n v="3242704.3949203724"/>
    <s v="Routine"/>
    <s v="Both"/>
    <n v="1084516.5200402583"/>
  </r>
  <r>
    <x v="8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2TBD"/>
    <n v="2.99"/>
    <n v="597836.48504456726"/>
    <s v="Routine"/>
    <s v="Both"/>
    <n v="199945.31272393552"/>
  </r>
  <r>
    <x v="8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2R21/Matrix-M "/>
    <n v="2.99"/>
    <n v="38744921.278922178"/>
    <s v="Routine"/>
    <s v="Both"/>
    <n v="12958167.651813436"/>
  </r>
  <r>
    <x v="8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2TBD"/>
    <n v="2.99"/>
    <n v="4655625.3182810992"/>
    <s v="Routine"/>
    <s v="Both"/>
    <n v="1557065.3238398323"/>
  </r>
  <r>
    <x v="8"/>
    <x v="15"/>
    <s v="TGO"/>
    <s v="AFRO"/>
    <s v="SSA"/>
    <s v="Lower Middle Income"/>
    <s v="UNICEF"/>
    <s v="Preparatory transition phase"/>
    <s v="Eligible"/>
    <s v="Malaria"/>
    <s v="Malaria"/>
    <s v="-"/>
    <s v="-"/>
    <s v=""/>
    <x v="1"/>
    <s v="2032R21/Matrix-M "/>
    <n v="2.99"/>
    <n v="2307548.128639577"/>
    <s v="Routine"/>
    <s v="Both"/>
    <n v="771755.22696975805"/>
  </r>
  <r>
    <x v="8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2R21/Matrix-M "/>
    <n v="2.99"/>
    <n v="13420715.761946702"/>
    <s v="Routine"/>
    <s v="Both"/>
    <n v="4488533.6996477265"/>
  </r>
  <r>
    <x v="8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2R21/Matrix-M "/>
    <n v="2.99"/>
    <n v="3134264.9199481993"/>
    <s v="Routine"/>
    <s v="Both"/>
    <n v="1048249.1371064211"/>
  </r>
  <r>
    <x v="9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3TBD"/>
    <n v="2.99"/>
    <n v="6594567.7450406691"/>
    <s v="Routine"/>
    <s v="Both"/>
    <n v="2205541.0518530663"/>
  </r>
  <r>
    <x v="9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3RTS,S/AS01"/>
    <n v="5"/>
    <n v="4718730.1696029576"/>
    <s v="Routine"/>
    <s v="Both"/>
    <n v="943746.03392059146"/>
  </r>
  <r>
    <x v="9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3R21/Matrix-M "/>
    <n v="2.99"/>
    <n v="6846621.3084682487"/>
    <s v="Routine"/>
    <s v="Both"/>
    <n v="2289839.9024977419"/>
  </r>
  <r>
    <x v="9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3R21/Matrix-M "/>
    <n v="2.99"/>
    <n v="5671306.3349578427"/>
    <s v="Routine"/>
    <s v="Both"/>
    <n v="1896757.9715578067"/>
  </r>
  <r>
    <x v="9"/>
    <x v="28"/>
    <s v="COG"/>
    <s v="AFRO"/>
    <s v="SSA"/>
    <s v="Lower Middle Income"/>
    <s v="UNICEF"/>
    <s v="Fully self-financing"/>
    <s v="Transitioned"/>
    <s v="Malaria"/>
    <s v="Malaria"/>
    <s v="-"/>
    <s v="-"/>
    <s v=""/>
    <x v="2"/>
    <s v="2033TBD"/>
    <n v="2.99"/>
    <n v="1286509.6823056485"/>
    <s v="Routine"/>
    <s v="Both"/>
    <n v="430270.79675774195"/>
  </r>
  <r>
    <x v="9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3R21/Matrix-M "/>
    <n v="2.99"/>
    <n v="8040058.4263757495"/>
    <s v="Routine"/>
    <s v="Both"/>
    <n v="2688982.7512962371"/>
  </r>
  <r>
    <x v="9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3R21/Matrix-M "/>
    <n v="2.99"/>
    <n v="14898526.672556126"/>
    <s v="Routine"/>
    <s v="Both"/>
    <n v="4982784.8403197741"/>
  </r>
  <r>
    <x v="9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3R21/Matrix-M "/>
    <n v="2.99"/>
    <n v="7136755.3327760547"/>
    <s v="Routine"/>
    <s v="Both"/>
    <n v="2386874.6932361387"/>
  </r>
  <r>
    <x v="9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3RTS,S/AS01"/>
    <n v="5"/>
    <n v="2645187.6186479032"/>
    <s v="Routine"/>
    <s v="Both"/>
    <n v="529037.52372958069"/>
  </r>
  <r>
    <x v="9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3RTS,S/AS01"/>
    <n v="5"/>
    <n v="150693.08812084407"/>
    <s v="Routine"/>
    <s v="Both"/>
    <n v="30138.617624168815"/>
  </r>
  <r>
    <x v="9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3R21/Matrix-M "/>
    <n v="2.99"/>
    <n v="3259616.4458884066"/>
    <s v="Routine"/>
    <s v="Both"/>
    <n v="1090172.7243773935"/>
  </r>
  <r>
    <x v="9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3TBD"/>
    <n v="2.99"/>
    <n v="603684.46646604885"/>
    <s v="Routine"/>
    <s v="Both"/>
    <n v="201901.15935319357"/>
  </r>
  <r>
    <x v="9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3R21/Matrix-M "/>
    <n v="2.99"/>
    <n v="39492469.271209732"/>
    <s v="Routine"/>
    <s v="Both"/>
    <n v="13208183.702745728"/>
  </r>
  <r>
    <x v="9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3TBD"/>
    <n v="2.99"/>
    <n v="4717648.3276279783"/>
    <s v="Routine"/>
    <s v="Both"/>
    <n v="1577808.8052267483"/>
  </r>
  <r>
    <x v="9"/>
    <x v="15"/>
    <s v="TGO"/>
    <s v="AFRO"/>
    <s v="SSA"/>
    <s v="Lower Middle Income"/>
    <s v="UNICEF"/>
    <s v="Preparatory transition phase"/>
    <s v="Eligible"/>
    <s v="Malaria"/>
    <s v="Malaria"/>
    <s v="-"/>
    <s v="-"/>
    <s v=""/>
    <x v="1"/>
    <s v="2033R21/Matrix-M "/>
    <n v="2.99"/>
    <n v="2366627.0095888153"/>
    <s v="Routine"/>
    <s v="Both"/>
    <n v="791514.05002970411"/>
  </r>
  <r>
    <x v="9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3R21/Matrix-M "/>
    <n v="2.99"/>
    <n v="13427908.168531926"/>
    <s v="Routine"/>
    <s v="Both"/>
    <n v="4490939.1867999751"/>
  </r>
  <r>
    <x v="9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3R21/Matrix-M "/>
    <n v="2.99"/>
    <n v="3165962.1382269925"/>
    <s v="Routine"/>
    <s v="Both"/>
    <n v="1058850.2134538435"/>
  </r>
  <r>
    <x v="10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4TBD"/>
    <n v="2.99"/>
    <n v="6799894.1769568091"/>
    <s v="Routine"/>
    <s v="Both"/>
    <n v="2274212.0993166585"/>
  </r>
  <r>
    <x v="10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4RTS,S/AS01"/>
    <n v="5"/>
    <n v="4846405.7567032259"/>
    <s v="Routine"/>
    <s v="Both"/>
    <n v="969281.15134064527"/>
  </r>
  <r>
    <x v="10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4R21/Matrix-M "/>
    <n v="2.99"/>
    <n v="6916552.2147808606"/>
    <s v="Routine"/>
    <s v="Both"/>
    <n v="2313228.1654785485"/>
  </r>
  <r>
    <x v="10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4R21/Matrix-M "/>
    <n v="2.99"/>
    <n v="5812271.7131717363"/>
    <s v="Routine"/>
    <s v="Both"/>
    <n v="1943903.5830005805"/>
  </r>
  <r>
    <x v="10"/>
    <x v="28"/>
    <s v="COG"/>
    <s v="AFRO"/>
    <s v="SSA"/>
    <s v="Lower Middle Income"/>
    <s v="UNICEF"/>
    <s v="Fully self-financing"/>
    <s v="Transitioned"/>
    <s v="Malaria"/>
    <s v="Malaria"/>
    <s v="-"/>
    <s v="-"/>
    <s v=""/>
    <x v="2"/>
    <s v="2034TBD"/>
    <n v="2.99"/>
    <n v="1322439.234176618"/>
    <s v="Routine"/>
    <s v="Both"/>
    <n v="442287.36928983877"/>
  </r>
  <r>
    <x v="10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4R21/Matrix-M "/>
    <n v="2.99"/>
    <n v="8306069.0365932109"/>
    <s v="Routine"/>
    <s v="Both"/>
    <n v="2777949.5105662909"/>
  </r>
  <r>
    <x v="10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4R21/Matrix-M "/>
    <n v="2.99"/>
    <n v="15155728.795901097"/>
    <s v="Routine"/>
    <s v="Both"/>
    <n v="5068805.6173582263"/>
  </r>
  <r>
    <x v="10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4R21/Matrix-M "/>
    <n v="2.99"/>
    <n v="7197549.0641993871"/>
    <s v="Routine"/>
    <s v="Both"/>
    <n v="2407207.044882738"/>
  </r>
  <r>
    <x v="10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4RTS,S/AS01"/>
    <n v="5"/>
    <n v="2685347.7335717739"/>
    <s v="Routine"/>
    <s v="Both"/>
    <n v="537069.54671435477"/>
  </r>
  <r>
    <x v="10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4RTS,S/AS01"/>
    <n v="5"/>
    <n v="153386.13297244624"/>
    <s v="Routine"/>
    <s v="Both"/>
    <n v="30677.226594489246"/>
  </r>
  <r>
    <x v="10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4R21/Matrix-M "/>
    <n v="2.99"/>
    <n v="3271116.5171512989"/>
    <s v="Routine"/>
    <s v="Both"/>
    <n v="1094018.9020572905"/>
  </r>
  <r>
    <x v="10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4TBD"/>
    <n v="2.99"/>
    <n v="610311.41012539656"/>
    <s v="Routine"/>
    <s v="Both"/>
    <n v="204117.52847003227"/>
  </r>
  <r>
    <x v="10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4R21/Matrix-M "/>
    <n v="2.99"/>
    <n v="40195261.267567597"/>
    <s v="Routine"/>
    <s v="Both"/>
    <n v="13443231.19316642"/>
  </r>
  <r>
    <x v="10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4TBD"/>
    <n v="2.99"/>
    <n v="4794844.7823954104"/>
    <s v="Routine"/>
    <s v="Both"/>
    <n v="1603627.0175235486"/>
  </r>
  <r>
    <x v="10"/>
    <x v="15"/>
    <s v="TGO"/>
    <s v="AFRO"/>
    <s v="SSA"/>
    <s v="Lower Middle Income"/>
    <s v="UNICEF"/>
    <s v="Preparatory transition phase"/>
    <s v="Eligible"/>
    <s v="Malaria"/>
    <s v="Malaria"/>
    <s v="-"/>
    <s v="-"/>
    <s v=""/>
    <x v="1"/>
    <s v="2034R21/Matrix-M "/>
    <n v="2.99"/>
    <n v="2423623.257506324"/>
    <s v="Routine"/>
    <s v="Both"/>
    <n v="810576.34030311834"/>
  </r>
  <r>
    <x v="10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4R21/Matrix-M "/>
    <n v="2.99"/>
    <n v="13458992.825457433"/>
    <s v="Routine"/>
    <s v="Both"/>
    <n v="4501335.393129576"/>
  </r>
  <r>
    <x v="10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4R21/Matrix-M "/>
    <n v="2.99"/>
    <n v="3198139.3979280582"/>
    <s v="Routine"/>
    <s v="Both"/>
    <n v="1069611.8387719258"/>
  </r>
  <r>
    <x v="11"/>
    <x v="31"/>
    <s v="AGO"/>
    <s v="AFRO"/>
    <s v="SSA"/>
    <s v="Lower Middle Income"/>
    <s v="UNICEF"/>
    <s v="Preparatory transition phase"/>
    <s v="Eligible"/>
    <s v="Malaria"/>
    <s v="Malaria"/>
    <s v="-"/>
    <s v="-"/>
    <s v=""/>
    <x v="2"/>
    <s v="2035TBD"/>
    <n v="2.99"/>
    <n v="7006860.1211668178"/>
    <s v="Routine"/>
    <s v="Both"/>
    <n v="2343431.4786511096"/>
  </r>
  <r>
    <x v="11"/>
    <x v="20"/>
    <s v="BEN"/>
    <s v="AFRO"/>
    <s v="SSA"/>
    <s v="Lower Middle Income"/>
    <s v="UNICEF"/>
    <s v="Preparatory transition phase"/>
    <s v="Eligible"/>
    <s v="Malaria"/>
    <s v="Malaria"/>
    <s v="Apr 2024"/>
    <s v="Apr 2024"/>
    <s v="RTS,S/AS01"/>
    <x v="0"/>
    <s v="2035RTS,S/AS01"/>
    <n v="5"/>
    <n v="4975253.8518666672"/>
    <s v="Routine"/>
    <s v="Both"/>
    <n v="995050.77037333336"/>
  </r>
  <r>
    <x v="11"/>
    <x v="0"/>
    <s v="BFA"/>
    <s v="AFRO"/>
    <s v="SSA"/>
    <s v="Lower Middle Income"/>
    <s v="UNICEF"/>
    <s v="Initial self-financing"/>
    <s v="Eligible"/>
    <s v="Malaria"/>
    <s v="Malaria"/>
    <s v="-"/>
    <s v="Jan 2024"/>
    <s v="CYVAC"/>
    <x v="1"/>
    <s v="2035R21/Matrix-M "/>
    <n v="2.99"/>
    <n v="6952355.0163388215"/>
    <s v="Routine"/>
    <s v="Both"/>
    <n v="2325202.3466016124"/>
  </r>
  <r>
    <x v="11"/>
    <x v="21"/>
    <s v="CMR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5R21/Matrix-M "/>
    <n v="2.99"/>
    <n v="5947244.3610622864"/>
    <s v="Routine"/>
    <s v="Both"/>
    <n v="1989044.9368101291"/>
  </r>
  <r>
    <x v="11"/>
    <x v="28"/>
    <s v="COG"/>
    <s v="AFRO"/>
    <s v="SSA"/>
    <s v="Lower Middle Income"/>
    <s v="UNICEF"/>
    <s v="Fully self-financing"/>
    <s v="Transitioned"/>
    <s v="Malaria"/>
    <s v="Malaria"/>
    <s v="-"/>
    <s v="-"/>
    <s v=""/>
    <x v="2"/>
    <s v="2035TBD"/>
    <n v="2.99"/>
    <n v="1357362.9100962039"/>
    <s v="Routine"/>
    <s v="Both"/>
    <n v="453967.52846026886"/>
  </r>
  <r>
    <x v="11"/>
    <x v="22"/>
    <s v="CIV"/>
    <s v="AFRO"/>
    <s v="SSA"/>
    <s v="Lower Middle Income"/>
    <s v="UNICEF"/>
    <s v="Fully self-financing"/>
    <s v="Transitioned"/>
    <s v="Malaria"/>
    <s v="Malaria"/>
    <s v="Jul 2024"/>
    <s v="Jul 2024"/>
    <s v="CYVAC"/>
    <x v="1"/>
    <s v="2035R21/Matrix-M "/>
    <n v="2.99"/>
    <n v="8555271.2364435066"/>
    <s v="Routine"/>
    <s v="Both"/>
    <n v="2861294.7279075272"/>
  </r>
  <r>
    <x v="11"/>
    <x v="12"/>
    <s v="ETH"/>
    <s v="AFRO"/>
    <s v="SSA"/>
    <s v="Lower Middle Income"/>
    <s v="UNICEF"/>
    <s v="Preparatory transition phase"/>
    <s v="Eligible"/>
    <s v="Malaria"/>
    <s v="Malaria"/>
    <s v="-"/>
    <s v="-"/>
    <s v=""/>
    <x v="1"/>
    <s v="2035R21/Matrix-M "/>
    <n v="2.99"/>
    <n v="15418920.464734359"/>
    <s v="Routine"/>
    <s v="Both"/>
    <n v="5156829.586867678"/>
  </r>
  <r>
    <x v="11"/>
    <x v="23"/>
    <s v="GHA"/>
    <s v="AFRO"/>
    <s v="SSA"/>
    <s v="Lower Middle Income"/>
    <s v="UNICEF"/>
    <s v="Fully self-financing"/>
    <s v="Transitioned"/>
    <s v="Malaria"/>
    <s v="Malaria"/>
    <s v="Jan 2024"/>
    <s v="Jan 2024"/>
    <s v="CYVAC"/>
    <x v="1"/>
    <s v="2035R21/Matrix-M "/>
    <n v="2.99"/>
    <n v="7251236.3436483806"/>
    <s v="Routine"/>
    <s v="Both"/>
    <n v="2425162.6567385886"/>
  </r>
  <r>
    <x v="11"/>
    <x v="26"/>
    <s v="GIN"/>
    <s v="AFRO"/>
    <s v="SSA"/>
    <s v="Lower Middle Income"/>
    <s v="UNICEF"/>
    <s v="Accelerated transition phase"/>
    <s v="Transitioning"/>
    <s v="Malaria"/>
    <s v="Malaria"/>
    <s v="-"/>
    <s v="-"/>
    <s v=""/>
    <x v="0"/>
    <s v="2035RTS,S/AS01"/>
    <n v="5"/>
    <n v="2727682.010311774"/>
    <s v="Routine"/>
    <s v="Both"/>
    <n v="545536.40206235484"/>
  </r>
  <r>
    <x v="11"/>
    <x v="13"/>
    <s v="GNB"/>
    <s v="AFRO"/>
    <s v="SSA"/>
    <s v="Lower Middle Income"/>
    <s v="UNICEF"/>
    <s v="Initial self-financing"/>
    <s v="Eligible"/>
    <s v="Malaria"/>
    <s v="Malaria"/>
    <s v="-"/>
    <s v="-"/>
    <s v=""/>
    <x v="0"/>
    <s v="2035RTS,S/AS01"/>
    <n v="5"/>
    <n v="155723.75974117746"/>
    <s v="Routine"/>
    <s v="Both"/>
    <n v="31144.751948235491"/>
  </r>
  <r>
    <x v="11"/>
    <x v="24"/>
    <s v="KEN"/>
    <s v="AFRO"/>
    <s v="SSA"/>
    <s v="Lower Middle Income"/>
    <s v="UNICEF"/>
    <s v="Preparatory transition phase"/>
    <s v="Eligible"/>
    <s v="Malaria"/>
    <s v="Malaria"/>
    <s v="-"/>
    <s v="Jan 2024"/>
    <s v="CYVAC"/>
    <x v="1"/>
    <s v="2035R21/Matrix-M "/>
    <n v="2.99"/>
    <n v="3278906.0318873748"/>
    <s v="Routine"/>
    <s v="Both"/>
    <n v="1096624.0909322323"/>
  </r>
  <r>
    <x v="11"/>
    <x v="29"/>
    <s v="MRT"/>
    <s v="AFRO"/>
    <s v="SSA"/>
    <s v="Lower Middle Income"/>
    <s v="UNICEF"/>
    <s v="Preparatory transition phase"/>
    <s v="Eligible"/>
    <s v="Malaria"/>
    <s v="Malaria"/>
    <s v="-"/>
    <s v="-"/>
    <s v=""/>
    <x v="2"/>
    <s v="2035TBD"/>
    <n v="2.99"/>
    <n v="617983.56534677232"/>
    <s v="Routine"/>
    <s v="Both"/>
    <n v="206683.4666711613"/>
  </r>
  <r>
    <x v="11"/>
    <x v="25"/>
    <s v="NGA"/>
    <s v="AFRO"/>
    <s v="SSA"/>
    <s v="Lower Middle Income"/>
    <s v="UNICEF"/>
    <s v="Preparatory transition phase"/>
    <s v="Eligible"/>
    <s v="Malaria"/>
    <s v="Malaria"/>
    <s v="Nov 2024"/>
    <s v="Nov 2024"/>
    <s v="CYVAC"/>
    <x v="1"/>
    <s v="2035R21/Matrix-M "/>
    <n v="2.99"/>
    <n v="40915477.896129757"/>
    <s v="Routine"/>
    <s v="Both"/>
    <n v="13684106.319775838"/>
  </r>
  <r>
    <x v="11"/>
    <x v="30"/>
    <s v="TZA"/>
    <s v="AFRO"/>
    <s v="SSA"/>
    <s v="Lower Middle Income"/>
    <s v="UNICEF"/>
    <s v="Preparatory transition phase"/>
    <s v="Eligible"/>
    <s v="Malaria"/>
    <s v="Malaria"/>
    <s v="-"/>
    <s v="-"/>
    <s v=""/>
    <x v="2"/>
    <s v="2035TBD"/>
    <n v="2.99"/>
    <n v="4874774.6068328405"/>
    <s v="Routine"/>
    <s v="Both"/>
    <n v="1630359.400278542"/>
  </r>
  <r>
    <x v="11"/>
    <x v="15"/>
    <s v="TGO"/>
    <s v="AFRO"/>
    <s v="SSA"/>
    <s v="Lower Middle Income"/>
    <s v="UNICEF"/>
    <s v="Preparatory transition phase"/>
    <s v="Eligible"/>
    <s v="Malaria"/>
    <s v="Malaria"/>
    <s v="-"/>
    <s v="-"/>
    <s v=""/>
    <x v="1"/>
    <s v="2035R21/Matrix-M "/>
    <n v="2.99"/>
    <n v="2481220.7715221196"/>
    <s v="Routine"/>
    <s v="Both"/>
    <n v="829839.72291709681"/>
  </r>
  <r>
    <x v="11"/>
    <x v="16"/>
    <s v="UGA"/>
    <s v="AFRO"/>
    <s v="SSA"/>
    <s v="Lower Middle Income"/>
    <s v="UNICEF"/>
    <s v="Preparatory transition phase"/>
    <s v="Eligible"/>
    <s v="Malaria"/>
    <s v="Malaria"/>
    <s v="-"/>
    <s v="-"/>
    <s v=""/>
    <x v="1"/>
    <s v="2035R21/Matrix-M "/>
    <n v="2.99"/>
    <n v="13495381.120400295"/>
    <s v="Routine"/>
    <s v="Both"/>
    <n v="4513505.3914382253"/>
  </r>
  <r>
    <x v="11"/>
    <x v="27"/>
    <s v="ZMB"/>
    <s v="AFRO"/>
    <s v="SSA"/>
    <s v="Lower Middle Income"/>
    <s v="UNICEF"/>
    <s v="Preparatory transition phase"/>
    <s v="Eligible"/>
    <s v="Malaria"/>
    <s v="Malaria"/>
    <s v="-"/>
    <s v="-"/>
    <s v=""/>
    <x v="1"/>
    <s v="2035R21/Matrix-M "/>
    <n v="2.99"/>
    <n v="3231979.4137945743"/>
    <s v="Routine"/>
    <s v="Both"/>
    <n v="1080929.5698309613"/>
  </r>
  <r>
    <x v="6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0R21/Matrix-M "/>
    <n v="2.99"/>
    <n v="2641052.3108219747"/>
    <s v="Routine"/>
    <s v="Both"/>
    <n v="883295.08723142964"/>
  </r>
  <r>
    <x v="7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1R21/Matrix-M "/>
    <n v="2.99"/>
    <n v="2715168.9774219589"/>
    <s v="Routine"/>
    <s v="Both"/>
    <n v="908083.2700407888"/>
  </r>
  <r>
    <x v="8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2R21/Matrix-M "/>
    <n v="2.99"/>
    <n v="2781245.9411432189"/>
    <s v="Routine"/>
    <s v="Both"/>
    <n v="930182.5890111099"/>
  </r>
  <r>
    <x v="9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3R21/Matrix-M "/>
    <n v="2.99"/>
    <n v="2837663.5750730839"/>
    <s v="Routine"/>
    <s v="Both"/>
    <n v="949051.36290069681"/>
  </r>
  <r>
    <x v="10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4R21/Matrix-M "/>
    <n v="2.99"/>
    <n v="2884684.1730565308"/>
    <s v="Routine"/>
    <s v="Both"/>
    <n v="964777.31540352199"/>
  </r>
  <r>
    <x v="11"/>
    <x v="9"/>
    <s v="SSD"/>
    <s v="AFRO"/>
    <s v="SSA"/>
    <m/>
    <s v="UNICEF"/>
    <s v="Initial self-financing"/>
    <s v="Eligible"/>
    <s v="Malaria"/>
    <s v="Malaria"/>
    <s v="Jul 2024"/>
    <s v="Jul 2024"/>
    <s v="CYVAC"/>
    <x v="1"/>
    <s v="2035R21/Matrix-M "/>
    <n v="2.99"/>
    <n v="2924289.1016598432"/>
    <s v="Routine"/>
    <s v="Both"/>
    <n v="978023.11092302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7BA9D-462F-433D-9DC6-EC5C917EA3A3}" name="PivotTable4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53:D66" firstHeaderRow="0" firstDataRow="1" firstDataCol="1" rowPageCount="1" colPageCount="1"/>
  <pivotFields count="2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3">
        <item x="31"/>
        <item x="20"/>
        <item x="0"/>
        <item x="11"/>
        <item x="21"/>
        <item x="1"/>
        <item x="2"/>
        <item x="28"/>
        <item x="22"/>
        <item x="3"/>
        <item x="12"/>
        <item x="17"/>
        <item x="23"/>
        <item x="26"/>
        <item x="13"/>
        <item x="24"/>
        <item x="4"/>
        <item x="18"/>
        <item x="5"/>
        <item x="14"/>
        <item x="29"/>
        <item x="6"/>
        <item x="7"/>
        <item x="25"/>
        <item x="8"/>
        <item x="19"/>
        <item x="9"/>
        <item x="10"/>
        <item x="30"/>
        <item x="15"/>
        <item x="1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7"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arket Size (Mn USD)" fld="22" baseField="0" baseItem="0" numFmtId="166"/>
    <dataField name="Sum of Market Size (Mn doses)" fld="23" baseField="0" baseItem="0" numFmtId="167"/>
  </dataFields>
  <formats count="3">
    <format dxfId="23">
      <pivotArea outline="0" collapsedLevelsAreSubtotals="1" fieldPosition="0">
        <references count="1">
          <reference field="0" count="0" selected="0"/>
        </references>
      </pivotArea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E6BC5-3997-4EDF-BBE9-203DA4CD5637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9:C42" firstHeaderRow="1" firstDataRow="1" firstDataCol="1" rowPageCount="1" colPageCount="1"/>
  <pivotFields count="2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3">
        <item x="31"/>
        <item x="20"/>
        <item x="0"/>
        <item x="11"/>
        <item x="21"/>
        <item x="1"/>
        <item x="2"/>
        <item x="28"/>
        <item x="22"/>
        <item x="3"/>
        <item x="12"/>
        <item x="17"/>
        <item x="23"/>
        <item x="26"/>
        <item x="13"/>
        <item x="24"/>
        <item x="4"/>
        <item x="18"/>
        <item x="5"/>
        <item x="14"/>
        <item x="29"/>
        <item x="6"/>
        <item x="7"/>
        <item x="25"/>
        <item x="8"/>
        <item x="19"/>
        <item x="9"/>
        <item x="10"/>
        <item x="30"/>
        <item x="15"/>
        <item x="1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7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Average of WAP ($/Dose)" fld="21" subtotal="average" baseField="0" baseItem="0"/>
  </dataFields>
  <formats count="3">
    <format dxfId="25">
      <pivotArea outline="0" collapsedLevelsAreSubtotals="1" fieldPosition="0">
        <references count="1">
          <reference field="0" count="0" selected="0"/>
        </references>
      </pivotArea>
    </format>
    <format dxfId="24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48CA4-F857-41A1-B3F6-83CD35456AAE}" name="PivotTable1" cacheId="7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9">
  <location ref="B6:E20" firstHeaderRow="1" firstDataRow="2" firstDataCol="1" rowPageCount="1" colPageCount="1"/>
  <pivotFields count="2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33">
        <item x="31"/>
        <item x="20"/>
        <item x="0"/>
        <item x="11"/>
        <item x="21"/>
        <item x="1"/>
        <item x="2"/>
        <item x="28"/>
        <item x="22"/>
        <item x="3"/>
        <item x="12"/>
        <item x="17"/>
        <item x="23"/>
        <item x="26"/>
        <item x="13"/>
        <item x="24"/>
        <item x="4"/>
        <item x="18"/>
        <item x="5"/>
        <item x="14"/>
        <item x="29"/>
        <item x="6"/>
        <item x="7"/>
        <item x="25"/>
        <item x="8"/>
        <item x="19"/>
        <item x="9"/>
        <item x="10"/>
        <item x="30"/>
        <item x="15"/>
        <item x="1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showAll="0"/>
    <pivotField showAll="0"/>
    <pivotField dataField="1" numFmtId="167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3">
    <i>
      <x/>
    </i>
    <i>
      <x v="1"/>
    </i>
    <i>
      <x v="2"/>
    </i>
  </colItems>
  <pageFields count="1">
    <pageField fld="1" hier="-1"/>
  </pageFields>
  <dataFields count="1">
    <dataField name="Sum of Total Required Supply" fld="20" showDataAs="percentOfRow" baseField="0" baseItem="0" numFmtId="168"/>
  </dataFields>
  <formats count="3">
    <format dxfId="28">
      <pivotArea outline="0" collapsedLevelsAreSubtotals="1" fieldPosition="0">
        <references count="1">
          <reference field="0" count="0" selected="0"/>
        </references>
      </pivotArea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collapsedLevelsAreSubtotals="1" fieldPosition="0"/>
    </format>
  </formats>
  <chartFormats count="1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54F55-F2B2-4590-A01B-AF1A4E5EFB8C}" name="PivotTable2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4:J47" firstHeaderRow="1" firstDataRow="1" firstDataCol="1"/>
  <pivotFields count="2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7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Required Supply" fld="20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icef.org/supply/media/24456/file/Malaria-vaccine-prices-11112025.pdf" TargetMode="Externa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A62E-6752-45B6-AC50-98187CB6D8CF}">
  <dimension ref="B2:N67"/>
  <sheetViews>
    <sheetView showGridLines="0" tabSelected="1" zoomScale="114" workbookViewId="0">
      <selection activeCell="C29" sqref="C29"/>
    </sheetView>
  </sheetViews>
  <sheetFormatPr defaultRowHeight="14.4" x14ac:dyDescent="0.3"/>
  <cols>
    <col min="2" max="2" width="25.88671875" bestFit="1" customWidth="1"/>
    <col min="3" max="3" width="15.5546875" bestFit="1" customWidth="1"/>
    <col min="4" max="4" width="10.77734375" bestFit="1" customWidth="1"/>
    <col min="5" max="5" width="20.33203125" customWidth="1"/>
    <col min="6" max="6" width="19.88671875" customWidth="1"/>
    <col min="7" max="7" width="19.6640625" bestFit="1" customWidth="1"/>
    <col min="8" max="8" width="22.5546875" customWidth="1"/>
    <col min="9" max="9" width="25.5546875" bestFit="1" customWidth="1"/>
    <col min="10" max="10" width="19.6640625" bestFit="1" customWidth="1"/>
    <col min="11" max="11" width="18.5546875" bestFit="1" customWidth="1"/>
    <col min="12" max="14" width="5.5546875" bestFit="1" customWidth="1"/>
    <col min="15" max="15" width="10.5546875" bestFit="1" customWidth="1"/>
  </cols>
  <sheetData>
    <row r="2" spans="2:14" s="27" customFormat="1" ht="18" x14ac:dyDescent="0.35">
      <c r="B2" s="26" t="s">
        <v>129</v>
      </c>
    </row>
    <row r="3" spans="2:14" s="29" customFormat="1" ht="18" x14ac:dyDescent="0.35">
      <c r="B3" s="28"/>
    </row>
    <row r="4" spans="2:14" x14ac:dyDescent="0.3">
      <c r="B4" s="24" t="s">
        <v>3</v>
      </c>
      <c r="C4" t="s">
        <v>130</v>
      </c>
    </row>
    <row r="6" spans="2:14" x14ac:dyDescent="0.3">
      <c r="B6" s="24" t="s">
        <v>128</v>
      </c>
      <c r="C6" s="24" t="s">
        <v>125</v>
      </c>
    </row>
    <row r="7" spans="2:14" x14ac:dyDescent="0.3">
      <c r="B7" s="24" t="s">
        <v>127</v>
      </c>
      <c r="C7" t="s">
        <v>118</v>
      </c>
      <c r="D7" t="s">
        <v>100</v>
      </c>
      <c r="E7" t="s">
        <v>120</v>
      </c>
    </row>
    <row r="8" spans="2:14" x14ac:dyDescent="0.3">
      <c r="B8" s="25">
        <v>2024</v>
      </c>
      <c r="C8" s="32">
        <v>0.44496788928104775</v>
      </c>
      <c r="D8" s="32">
        <v>0.5550321107189522</v>
      </c>
      <c r="E8" s="32">
        <v>0</v>
      </c>
    </row>
    <row r="9" spans="2:14" x14ac:dyDescent="0.3">
      <c r="B9" s="25">
        <v>2025</v>
      </c>
      <c r="C9" s="32">
        <v>0.82343203907022944</v>
      </c>
      <c r="D9" s="32">
        <v>0.17656796092977062</v>
      </c>
      <c r="E9" s="32">
        <v>0</v>
      </c>
    </row>
    <row r="10" spans="2:14" x14ac:dyDescent="0.3">
      <c r="B10" s="25">
        <v>2026</v>
      </c>
      <c r="C10" s="32">
        <v>0.84244112234754276</v>
      </c>
      <c r="D10" s="32">
        <v>0.14512378820267299</v>
      </c>
      <c r="E10" s="32">
        <v>1.2435089449784217E-2</v>
      </c>
    </row>
    <row r="11" spans="2:14" x14ac:dyDescent="0.3">
      <c r="B11" s="25">
        <v>2027</v>
      </c>
      <c r="C11" s="32">
        <v>0.81400751256736437</v>
      </c>
      <c r="D11" s="32">
        <v>0.14106430610190715</v>
      </c>
      <c r="E11" s="32">
        <v>4.4928181330728338E-2</v>
      </c>
    </row>
    <row r="12" spans="2:14" x14ac:dyDescent="0.3">
      <c r="B12" s="25">
        <v>2028</v>
      </c>
      <c r="C12" s="32">
        <v>0.81795612566556863</v>
      </c>
      <c r="D12" s="32">
        <v>0.11376808431070239</v>
      </c>
      <c r="E12" s="32">
        <v>6.8275790023729035E-2</v>
      </c>
      <c r="F12" s="23"/>
      <c r="G12" s="23"/>
      <c r="H12" s="23"/>
      <c r="I12" s="23"/>
      <c r="J12" s="23"/>
      <c r="K12" s="23"/>
      <c r="L12" s="23"/>
      <c r="M12" s="23"/>
      <c r="N12" s="23"/>
    </row>
    <row r="13" spans="2:14" x14ac:dyDescent="0.3">
      <c r="B13" s="25">
        <v>2029</v>
      </c>
      <c r="C13" s="32">
        <v>0.81928106259607159</v>
      </c>
      <c r="D13" s="32">
        <v>0.10831159212548361</v>
      </c>
      <c r="E13" s="32">
        <v>7.2407345278444779E-2</v>
      </c>
      <c r="F13" s="23"/>
      <c r="G13" s="23"/>
      <c r="H13" s="23"/>
      <c r="I13" s="23"/>
      <c r="J13" s="23"/>
      <c r="K13" s="23"/>
      <c r="L13" s="23"/>
      <c r="M13" s="23"/>
      <c r="N13" s="23"/>
    </row>
    <row r="14" spans="2:14" x14ac:dyDescent="0.3">
      <c r="B14" s="25">
        <v>2030</v>
      </c>
      <c r="C14" s="32">
        <v>0.81856245237033454</v>
      </c>
      <c r="D14" s="32">
        <v>0.10866959369399865</v>
      </c>
      <c r="E14" s="32">
        <v>7.2767953935666763E-2</v>
      </c>
    </row>
    <row r="15" spans="2:14" x14ac:dyDescent="0.3">
      <c r="B15" s="25">
        <v>2031</v>
      </c>
      <c r="C15" s="32">
        <v>0.81825789532118998</v>
      </c>
      <c r="D15" s="32">
        <v>0.10860067075807461</v>
      </c>
      <c r="E15" s="32">
        <v>7.3141433920735438E-2</v>
      </c>
    </row>
    <row r="16" spans="2:14" x14ac:dyDescent="0.3">
      <c r="B16" s="25">
        <v>2032</v>
      </c>
      <c r="C16" s="32">
        <v>0.81827038747631864</v>
      </c>
      <c r="D16" s="32">
        <v>0.10841240992144034</v>
      </c>
      <c r="E16" s="32">
        <v>7.331720260224095E-2</v>
      </c>
    </row>
    <row r="17" spans="2:6" x14ac:dyDescent="0.3">
      <c r="B17" s="25">
        <v>2033</v>
      </c>
      <c r="C17" s="32">
        <v>0.81828895377308508</v>
      </c>
      <c r="D17" s="32">
        <v>0.108092127796291</v>
      </c>
      <c r="E17" s="32">
        <v>7.3618918430623917E-2</v>
      </c>
    </row>
    <row r="18" spans="2:6" x14ac:dyDescent="0.3">
      <c r="B18" s="25">
        <v>2034</v>
      </c>
      <c r="C18" s="32">
        <v>0.81857558207046177</v>
      </c>
      <c r="D18" s="32">
        <v>0.10735760894718702</v>
      </c>
      <c r="E18" s="32">
        <v>7.4066808982351198E-2</v>
      </c>
    </row>
    <row r="19" spans="2:6" x14ac:dyDescent="0.3">
      <c r="B19" s="25">
        <v>2035</v>
      </c>
      <c r="C19" s="32">
        <v>0.81873515472243108</v>
      </c>
      <c r="D19" s="32">
        <v>0.10670573463586062</v>
      </c>
      <c r="E19" s="32">
        <v>7.4559110641708365E-2</v>
      </c>
    </row>
    <row r="20" spans="2:6" x14ac:dyDescent="0.3">
      <c r="B20" s="25" t="s">
        <v>126</v>
      </c>
      <c r="C20" s="32">
        <v>0.81690107385490074</v>
      </c>
      <c r="D20" s="32">
        <v>0.12094198528563875</v>
      </c>
      <c r="E20" s="32">
        <v>6.2156940859460538E-2</v>
      </c>
    </row>
    <row r="25" spans="2:6" s="27" customFormat="1" ht="18" x14ac:dyDescent="0.35">
      <c r="B25" s="26" t="s">
        <v>133</v>
      </c>
    </row>
    <row r="27" spans="2:6" x14ac:dyDescent="0.3">
      <c r="B27" s="24" t="s">
        <v>3</v>
      </c>
      <c r="C27" t="s">
        <v>130</v>
      </c>
    </row>
    <row r="29" spans="2:6" ht="28.8" x14ac:dyDescent="0.3">
      <c r="B29" s="24" t="s">
        <v>127</v>
      </c>
      <c r="C29" s="31" t="s">
        <v>132</v>
      </c>
    </row>
    <row r="30" spans="2:6" x14ac:dyDescent="0.3">
      <c r="B30" s="25">
        <v>2024</v>
      </c>
      <c r="C30" s="22">
        <v>7.8262971512258703</v>
      </c>
      <c r="F30" s="22"/>
    </row>
    <row r="31" spans="2:6" x14ac:dyDescent="0.3">
      <c r="B31" s="25">
        <v>2025</v>
      </c>
      <c r="C31" s="22">
        <v>5.1490417556171986</v>
      </c>
      <c r="F31" s="22"/>
    </row>
    <row r="32" spans="2:6" x14ac:dyDescent="0.3">
      <c r="B32" s="25">
        <v>2026</v>
      </c>
      <c r="C32" s="22">
        <v>4.9266056777457079</v>
      </c>
      <c r="F32" s="22"/>
    </row>
    <row r="33" spans="2:8" x14ac:dyDescent="0.3">
      <c r="B33" s="25">
        <v>2027</v>
      </c>
      <c r="C33" s="22">
        <v>4.1162574199176269</v>
      </c>
      <c r="F33" s="22"/>
    </row>
    <row r="34" spans="2:8" x14ac:dyDescent="0.3">
      <c r="B34" s="25">
        <v>2028</v>
      </c>
      <c r="C34" s="22">
        <v>3.218673849464512</v>
      </c>
      <c r="F34" s="22"/>
    </row>
    <row r="35" spans="2:8" x14ac:dyDescent="0.3">
      <c r="B35" s="25">
        <v>2029</v>
      </c>
      <c r="C35" s="22">
        <v>3.2077063001722221</v>
      </c>
      <c r="F35" s="22"/>
    </row>
    <row r="36" spans="2:8" x14ac:dyDescent="0.3">
      <c r="B36" s="25">
        <v>2030</v>
      </c>
      <c r="C36" s="22">
        <v>3.2084258833249377</v>
      </c>
      <c r="F36" s="22"/>
    </row>
    <row r="37" spans="2:8" x14ac:dyDescent="0.3">
      <c r="B37" s="25">
        <v>2031</v>
      </c>
      <c r="C37" s="22">
        <v>3.2082873482237302</v>
      </c>
      <c r="F37" s="22"/>
    </row>
    <row r="38" spans="2:8" x14ac:dyDescent="0.3">
      <c r="B38" s="25">
        <v>2032</v>
      </c>
      <c r="C38" s="22">
        <v>3.2079089439420945</v>
      </c>
      <c r="F38" s="22"/>
    </row>
    <row r="39" spans="2:8" x14ac:dyDescent="0.3">
      <c r="B39" s="25">
        <v>2033</v>
      </c>
      <c r="C39" s="22">
        <v>3.2072651768705458</v>
      </c>
      <c r="F39" s="22"/>
    </row>
    <row r="40" spans="2:8" x14ac:dyDescent="0.3">
      <c r="B40" s="25">
        <v>2034</v>
      </c>
      <c r="C40" s="22">
        <v>3.2057887939838459</v>
      </c>
      <c r="F40" s="22"/>
    </row>
    <row r="41" spans="2:8" x14ac:dyDescent="0.3">
      <c r="B41" s="25">
        <v>2035</v>
      </c>
      <c r="C41" s="22">
        <v>3.2044785266180811</v>
      </c>
      <c r="F41" s="22"/>
    </row>
    <row r="42" spans="2:8" x14ac:dyDescent="0.3">
      <c r="B42" s="25" t="s">
        <v>126</v>
      </c>
      <c r="C42" s="22">
        <v>3.5400948458719066</v>
      </c>
    </row>
    <row r="45" spans="2:8" s="27" customFormat="1" ht="18" x14ac:dyDescent="0.35">
      <c r="B45" s="26" t="s">
        <v>134</v>
      </c>
    </row>
    <row r="46" spans="2:8" ht="15" thickBot="1" x14ac:dyDescent="0.35"/>
    <row r="47" spans="2:8" ht="28.8" customHeight="1" x14ac:dyDescent="0.3">
      <c r="B47" s="40" t="s">
        <v>175</v>
      </c>
      <c r="C47" s="41"/>
      <c r="E47" s="40" t="s">
        <v>174</v>
      </c>
      <c r="F47" s="41"/>
      <c r="H47" s="42" t="s">
        <v>176</v>
      </c>
    </row>
    <row r="48" spans="2:8" ht="15" thickBot="1" x14ac:dyDescent="0.35">
      <c r="B48" s="33" t="s">
        <v>137</v>
      </c>
      <c r="C48" s="35">
        <f>SUM(C56:C60)</f>
        <v>1096.3837683472671</v>
      </c>
      <c r="E48" s="33" t="s">
        <v>137</v>
      </c>
      <c r="F48" s="35">
        <v>1296.4169900211175</v>
      </c>
      <c r="H48" s="43">
        <f>C48-F48</f>
        <v>-200.03322167385045</v>
      </c>
    </row>
    <row r="49" spans="2:6" x14ac:dyDescent="0.3">
      <c r="B49" s="34" t="s">
        <v>138</v>
      </c>
      <c r="C49" s="36">
        <f>SUM(D56:D60)</f>
        <v>296.42635923673049</v>
      </c>
      <c r="E49" s="34" t="s">
        <v>138</v>
      </c>
      <c r="F49" s="36">
        <v>296.42635923673049</v>
      </c>
    </row>
    <row r="51" spans="2:6" x14ac:dyDescent="0.3">
      <c r="B51" s="24" t="s">
        <v>3</v>
      </c>
      <c r="C51" t="s">
        <v>130</v>
      </c>
    </row>
    <row r="53" spans="2:6" ht="43.2" x14ac:dyDescent="0.3">
      <c r="B53" s="24" t="s">
        <v>127</v>
      </c>
      <c r="C53" s="31" t="s">
        <v>135</v>
      </c>
      <c r="D53" s="31" t="s">
        <v>136</v>
      </c>
    </row>
    <row r="54" spans="2:6" x14ac:dyDescent="0.3">
      <c r="B54" s="25">
        <v>2024</v>
      </c>
      <c r="C54" s="30">
        <v>46.106853940105239</v>
      </c>
      <c r="D54" s="30">
        <v>5.8912731077280016</v>
      </c>
    </row>
    <row r="55" spans="2:6" x14ac:dyDescent="0.3">
      <c r="B55" s="25">
        <v>2025</v>
      </c>
      <c r="C55" s="30">
        <v>125.84720300209678</v>
      </c>
      <c r="D55" s="30">
        <v>24.440897738847699</v>
      </c>
    </row>
    <row r="56" spans="2:6" x14ac:dyDescent="0.3">
      <c r="B56" s="25">
        <v>2026</v>
      </c>
      <c r="C56" s="30">
        <v>264.60083425667949</v>
      </c>
      <c r="D56" s="30">
        <v>53.708547337556404</v>
      </c>
    </row>
    <row r="57" spans="2:6" x14ac:dyDescent="0.3">
      <c r="B57" s="25">
        <v>2027</v>
      </c>
      <c r="C57" s="30">
        <v>237.90705977574936</v>
      </c>
      <c r="D57" s="30">
        <v>57.796934327909518</v>
      </c>
    </row>
    <row r="58" spans="2:6" x14ac:dyDescent="0.3">
      <c r="B58" s="25">
        <v>2028</v>
      </c>
      <c r="C58" s="30">
        <v>193.29476706241309</v>
      </c>
      <c r="D58" s="30">
        <v>60.054163951582538</v>
      </c>
    </row>
    <row r="59" spans="2:6" x14ac:dyDescent="0.3">
      <c r="B59" s="25">
        <v>2029</v>
      </c>
      <c r="C59" s="30">
        <v>198.31850267608709</v>
      </c>
      <c r="D59" s="30">
        <v>61.825642411663225</v>
      </c>
    </row>
    <row r="60" spans="2:6" x14ac:dyDescent="0.3">
      <c r="B60" s="25">
        <v>2030</v>
      </c>
      <c r="C60" s="30">
        <v>202.26260457633799</v>
      </c>
      <c r="D60" s="30">
        <v>63.041071208018792</v>
      </c>
    </row>
    <row r="61" spans="2:6" x14ac:dyDescent="0.3">
      <c r="B61" s="25">
        <v>2031</v>
      </c>
      <c r="C61" s="30">
        <v>206.59901305542132</v>
      </c>
      <c r="D61" s="30">
        <v>64.395420556642151</v>
      </c>
    </row>
    <row r="62" spans="2:6" x14ac:dyDescent="0.3">
      <c r="B62" s="25">
        <v>2032</v>
      </c>
      <c r="C62" s="30">
        <v>210.76124944306034</v>
      </c>
      <c r="D62" s="30">
        <v>65.700508688398969</v>
      </c>
    </row>
    <row r="63" spans="2:6" x14ac:dyDescent="0.3">
      <c r="B63" s="25">
        <v>2033</v>
      </c>
      <c r="C63" s="30">
        <v>214.79174584367718</v>
      </c>
      <c r="D63" s="30">
        <v>66.970373199155887</v>
      </c>
    </row>
    <row r="64" spans="2:6" x14ac:dyDescent="0.3">
      <c r="B64" s="25">
        <v>2034</v>
      </c>
      <c r="C64" s="30">
        <v>218.66774871784969</v>
      </c>
      <c r="D64" s="30">
        <v>68.210279207480312</v>
      </c>
    </row>
    <row r="65" spans="2:4" x14ac:dyDescent="0.3">
      <c r="B65" s="25">
        <v>2035</v>
      </c>
      <c r="C65" s="30">
        <v>222.44200792143064</v>
      </c>
      <c r="D65" s="30">
        <v>69.415977068877368</v>
      </c>
    </row>
    <row r="66" spans="2:4" x14ac:dyDescent="0.3">
      <c r="B66" s="25" t="s">
        <v>126</v>
      </c>
      <c r="C66" s="30">
        <v>2341.5995902709083</v>
      </c>
      <c r="D66" s="30">
        <v>661.45108880386078</v>
      </c>
    </row>
    <row r="67" spans="2:4" x14ac:dyDescent="0.3">
      <c r="D67" s="23">
        <f>_xlfn.RRI(10,GETPIVOTDATA("Sum of Market Size (Mn doses)",$B$53,"Year",2025),GETPIVOTDATA("Sum of Market Size (Mn doses)",$B$53,"Year",2035))</f>
        <v>0.11002875369228038</v>
      </c>
    </row>
  </sheetData>
  <mergeCells count="2">
    <mergeCell ref="E47:F47"/>
    <mergeCell ref="B47:C47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DDF5-D560-49EB-ADA6-EA5D4D0FBB88}">
  <dimension ref="C3:Z366"/>
  <sheetViews>
    <sheetView showGridLines="0" topLeftCell="H1" zoomScale="66" workbookViewId="0">
      <selection activeCell="Q5" sqref="Q5"/>
    </sheetView>
  </sheetViews>
  <sheetFormatPr defaultRowHeight="14.4" x14ac:dyDescent="0.3"/>
  <cols>
    <col min="3" max="3" width="14.33203125" bestFit="1" customWidth="1"/>
    <col min="4" max="4" width="12.77734375" bestFit="1" customWidth="1"/>
    <col min="5" max="5" width="6.6640625" bestFit="1" customWidth="1"/>
    <col min="6" max="6" width="14.109375" bestFit="1" customWidth="1"/>
    <col min="7" max="7" width="15.33203125" bestFit="1" customWidth="1"/>
    <col min="8" max="8" width="18.5546875" bestFit="1" customWidth="1"/>
    <col min="9" max="9" width="11.33203125" bestFit="1" customWidth="1"/>
    <col min="10" max="10" width="24.6640625" bestFit="1" customWidth="1"/>
    <col min="11" max="11" width="15" bestFit="1" customWidth="1"/>
    <col min="12" max="12" width="10.44140625" bestFit="1" customWidth="1"/>
    <col min="13" max="13" width="18.21875" bestFit="1" customWidth="1"/>
    <col min="14" max="14" width="25.21875" bestFit="1" customWidth="1"/>
    <col min="15" max="15" width="25.5546875" bestFit="1" customWidth="1"/>
    <col min="16" max="16" width="14.109375" bestFit="1" customWidth="1"/>
    <col min="17" max="17" width="16.44140625" customWidth="1"/>
    <col min="18" max="18" width="16.44140625" hidden="1" customWidth="1"/>
    <col min="19" max="19" width="20.5546875" bestFit="1" customWidth="1"/>
    <col min="20" max="20" width="20.5546875" customWidth="1"/>
    <col min="21" max="21" width="19.21875" bestFit="1" customWidth="1"/>
    <col min="22" max="22" width="9.88671875" bestFit="1" customWidth="1"/>
    <col min="23" max="23" width="21.77734375" bestFit="1" customWidth="1"/>
  </cols>
  <sheetData>
    <row r="3" spans="3:26" x14ac:dyDescent="0.3">
      <c r="G3" s="1"/>
      <c r="H3" s="1"/>
      <c r="I3" s="1"/>
      <c r="J3" s="1"/>
      <c r="W3" s="20"/>
      <c r="Z3" s="23"/>
    </row>
    <row r="4" spans="3:26" x14ac:dyDescent="0.3">
      <c r="C4" s="13" t="s">
        <v>5</v>
      </c>
      <c r="D4" s="13" t="s">
        <v>3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3" t="s">
        <v>15</v>
      </c>
      <c r="K4" s="13" t="s">
        <v>16</v>
      </c>
      <c r="L4" s="13" t="s">
        <v>17</v>
      </c>
      <c r="M4" s="13" t="s">
        <v>18</v>
      </c>
      <c r="N4" s="13" t="s">
        <v>19</v>
      </c>
      <c r="O4" s="13" t="s">
        <v>20</v>
      </c>
      <c r="P4" s="13" t="s">
        <v>21</v>
      </c>
      <c r="Q4" s="14" t="s">
        <v>173</v>
      </c>
      <c r="R4" s="14" t="s">
        <v>123</v>
      </c>
      <c r="S4" s="14" t="s">
        <v>124</v>
      </c>
      <c r="T4" s="14" t="s">
        <v>131</v>
      </c>
      <c r="U4" s="13" t="s">
        <v>22</v>
      </c>
      <c r="V4" s="13" t="s">
        <v>23</v>
      </c>
      <c r="W4" s="13" t="s">
        <v>24</v>
      </c>
    </row>
    <row r="5" spans="3:26" x14ac:dyDescent="0.3">
      <c r="C5" s="12">
        <v>2024</v>
      </c>
      <c r="D5" s="12" t="s">
        <v>37</v>
      </c>
      <c r="E5" s="12" t="s">
        <v>38</v>
      </c>
      <c r="F5" s="12" t="s">
        <v>33</v>
      </c>
      <c r="G5" s="12" t="s">
        <v>34</v>
      </c>
      <c r="H5" s="12" t="s">
        <v>26</v>
      </c>
      <c r="I5" s="12" t="s">
        <v>27</v>
      </c>
      <c r="J5" s="12" t="s">
        <v>28</v>
      </c>
      <c r="K5" s="12" t="s">
        <v>29</v>
      </c>
      <c r="L5" s="12" t="s">
        <v>2</v>
      </c>
      <c r="M5" s="12" t="s">
        <v>2</v>
      </c>
      <c r="N5" s="12" t="s">
        <v>99</v>
      </c>
      <c r="O5" s="12" t="s">
        <v>99</v>
      </c>
      <c r="P5" s="12" t="s">
        <v>100</v>
      </c>
      <c r="Q5" s="12" t="s">
        <v>100</v>
      </c>
      <c r="R5" s="12" t="s">
        <v>139</v>
      </c>
      <c r="S5" s="18">
        <f>_xlfn.XLOOKUP(R5,'Price Assumptions'!E:E,'Price Assumptions'!G:G)</f>
        <v>10.974</v>
      </c>
      <c r="T5" s="18">
        <f>S5*W5</f>
        <v>5936227.6939521628</v>
      </c>
      <c r="U5" s="12" t="s">
        <v>30</v>
      </c>
      <c r="V5" s="12" t="s">
        <v>9</v>
      </c>
      <c r="W5" s="19">
        <v>540935.63823147095</v>
      </c>
    </row>
    <row r="6" spans="3:26" x14ac:dyDescent="0.3">
      <c r="C6" s="12">
        <v>2024</v>
      </c>
      <c r="D6" s="12" t="s">
        <v>43</v>
      </c>
      <c r="E6" s="12" t="s">
        <v>44</v>
      </c>
      <c r="F6" s="12" t="s">
        <v>33</v>
      </c>
      <c r="G6" s="12" t="s">
        <v>34</v>
      </c>
      <c r="H6" s="12" t="s">
        <v>26</v>
      </c>
      <c r="I6" s="12" t="s">
        <v>27</v>
      </c>
      <c r="J6" s="12" t="s">
        <v>28</v>
      </c>
      <c r="K6" s="12" t="s">
        <v>29</v>
      </c>
      <c r="L6" s="12" t="s">
        <v>2</v>
      </c>
      <c r="M6" s="12" t="s">
        <v>2</v>
      </c>
      <c r="N6" s="12" t="s">
        <v>99</v>
      </c>
      <c r="O6" s="12" t="s">
        <v>99</v>
      </c>
      <c r="P6" s="12" t="s">
        <v>101</v>
      </c>
      <c r="Q6" s="12" t="s">
        <v>118</v>
      </c>
      <c r="R6" s="12" t="s">
        <v>140</v>
      </c>
      <c r="S6" s="18">
        <f>_xlfn.XLOOKUP(R6,'Price Assumptions'!E:E,'Price Assumptions'!G:G)</f>
        <v>3.9</v>
      </c>
      <c r="T6" s="18">
        <f t="shared" ref="T6:T69" si="0">S6*W6</f>
        <v>501379.63038970268</v>
      </c>
      <c r="U6" s="12" t="s">
        <v>30</v>
      </c>
      <c r="V6" s="12" t="s">
        <v>9</v>
      </c>
      <c r="W6" s="19">
        <v>128558.87958710325</v>
      </c>
    </row>
    <row r="7" spans="3:26" x14ac:dyDescent="0.3">
      <c r="C7" s="12">
        <v>2024</v>
      </c>
      <c r="D7" s="12" t="s">
        <v>45</v>
      </c>
      <c r="E7" s="12" t="s">
        <v>46</v>
      </c>
      <c r="F7" s="12" t="s">
        <v>33</v>
      </c>
      <c r="G7" s="12" t="s">
        <v>34</v>
      </c>
      <c r="H7" s="12" t="s">
        <v>26</v>
      </c>
      <c r="I7" s="12" t="s">
        <v>27</v>
      </c>
      <c r="J7" s="12" t="s">
        <v>28</v>
      </c>
      <c r="K7" s="12" t="s">
        <v>29</v>
      </c>
      <c r="L7" s="12" t="s">
        <v>2</v>
      </c>
      <c r="M7" s="12" t="s">
        <v>2</v>
      </c>
      <c r="N7" s="12" t="s">
        <v>102</v>
      </c>
      <c r="O7" s="12" t="s">
        <v>102</v>
      </c>
      <c r="P7" s="12" t="s">
        <v>101</v>
      </c>
      <c r="Q7" s="12" t="s">
        <v>118</v>
      </c>
      <c r="R7" s="12" t="s">
        <v>140</v>
      </c>
      <c r="S7" s="18">
        <f>_xlfn.XLOOKUP(R7,'Price Assumptions'!E:E,'Price Assumptions'!G:G)</f>
        <v>3.9</v>
      </c>
      <c r="T7" s="18">
        <f t="shared" si="0"/>
        <v>196879.5738527053</v>
      </c>
      <c r="U7" s="12" t="s">
        <v>30</v>
      </c>
      <c r="V7" s="12" t="s">
        <v>9</v>
      </c>
      <c r="W7" s="19">
        <v>50481.942013514185</v>
      </c>
    </row>
    <row r="8" spans="3:26" x14ac:dyDescent="0.3">
      <c r="C8" s="12">
        <v>2024</v>
      </c>
      <c r="D8" s="12" t="s">
        <v>51</v>
      </c>
      <c r="E8" s="12" t="s">
        <v>52</v>
      </c>
      <c r="F8" s="12" t="s">
        <v>33</v>
      </c>
      <c r="G8" s="12" t="s">
        <v>34</v>
      </c>
      <c r="H8" s="12" t="s">
        <v>26</v>
      </c>
      <c r="I8" s="12" t="s">
        <v>27</v>
      </c>
      <c r="J8" s="12" t="s">
        <v>28</v>
      </c>
      <c r="K8" s="12" t="s">
        <v>29</v>
      </c>
      <c r="L8" s="12" t="s">
        <v>2</v>
      </c>
      <c r="M8" s="12" t="s">
        <v>2</v>
      </c>
      <c r="N8" s="12" t="s">
        <v>103</v>
      </c>
      <c r="O8" s="12" t="s">
        <v>103</v>
      </c>
      <c r="P8" s="12" t="s">
        <v>101</v>
      </c>
      <c r="Q8" s="12" t="s">
        <v>118</v>
      </c>
      <c r="R8" s="12" t="s">
        <v>140</v>
      </c>
      <c r="S8" s="18">
        <f>_xlfn.XLOOKUP(R8,'Price Assumptions'!E:E,'Price Assumptions'!G:G)</f>
        <v>3.9</v>
      </c>
      <c r="T8" s="18">
        <f t="shared" si="0"/>
        <v>1290126.0168751997</v>
      </c>
      <c r="U8" s="12" t="s">
        <v>30</v>
      </c>
      <c r="V8" s="12" t="s">
        <v>9</v>
      </c>
      <c r="W8" s="19">
        <v>330801.54278851277</v>
      </c>
    </row>
    <row r="9" spans="3:26" x14ac:dyDescent="0.3">
      <c r="C9" s="12">
        <v>2024</v>
      </c>
      <c r="D9" s="12" t="s">
        <v>65</v>
      </c>
      <c r="E9" s="12" t="s">
        <v>66</v>
      </c>
      <c r="F9" s="12" t="s">
        <v>33</v>
      </c>
      <c r="G9" s="12" t="s">
        <v>34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2</v>
      </c>
      <c r="M9" s="12" t="s">
        <v>2</v>
      </c>
      <c r="N9" s="12" t="s">
        <v>104</v>
      </c>
      <c r="O9" s="12" t="s">
        <v>104</v>
      </c>
      <c r="P9" s="12" t="s">
        <v>100</v>
      </c>
      <c r="Q9" s="12" t="s">
        <v>100</v>
      </c>
      <c r="R9" s="12" t="s">
        <v>139</v>
      </c>
      <c r="S9" s="18">
        <f>_xlfn.XLOOKUP(R9,'Price Assumptions'!E:E,'Price Assumptions'!G:G)</f>
        <v>10.974</v>
      </c>
      <c r="T9" s="18">
        <f t="shared" si="0"/>
        <v>999221.32613475015</v>
      </c>
      <c r="U9" s="12" t="s">
        <v>30</v>
      </c>
      <c r="V9" s="12" t="s">
        <v>9</v>
      </c>
      <c r="W9" s="19">
        <v>91053.51978629033</v>
      </c>
    </row>
    <row r="10" spans="3:26" x14ac:dyDescent="0.3">
      <c r="C10" s="12">
        <v>2024</v>
      </c>
      <c r="D10" s="12" t="s">
        <v>69</v>
      </c>
      <c r="E10" s="12" t="s">
        <v>70</v>
      </c>
      <c r="F10" s="12" t="s">
        <v>33</v>
      </c>
      <c r="G10" s="12" t="s">
        <v>34</v>
      </c>
      <c r="H10" s="12" t="s">
        <v>26</v>
      </c>
      <c r="I10" s="12" t="s">
        <v>27</v>
      </c>
      <c r="J10" s="12" t="s">
        <v>28</v>
      </c>
      <c r="K10" s="12" t="s">
        <v>29</v>
      </c>
      <c r="L10" s="12" t="s">
        <v>2</v>
      </c>
      <c r="M10" s="12" t="s">
        <v>2</v>
      </c>
      <c r="N10" s="12" t="s">
        <v>99</v>
      </c>
      <c r="O10" s="12" t="s">
        <v>99</v>
      </c>
      <c r="P10" s="12" t="s">
        <v>100</v>
      </c>
      <c r="Q10" s="12" t="s">
        <v>100</v>
      </c>
      <c r="R10" s="12" t="s">
        <v>139</v>
      </c>
      <c r="S10" s="18">
        <f>_xlfn.XLOOKUP(R10,'Price Assumptions'!E:E,'Price Assumptions'!G:G)</f>
        <v>10.974</v>
      </c>
      <c r="T10" s="18">
        <f t="shared" si="0"/>
        <v>5720528.2759055207</v>
      </c>
      <c r="U10" s="12" t="s">
        <v>30</v>
      </c>
      <c r="V10" s="12" t="s">
        <v>9</v>
      </c>
      <c r="W10" s="19">
        <v>521280.14178107533</v>
      </c>
    </row>
    <row r="11" spans="3:26" x14ac:dyDescent="0.3">
      <c r="C11" s="12">
        <v>2024</v>
      </c>
      <c r="D11" s="12" t="s">
        <v>75</v>
      </c>
      <c r="E11" s="12" t="s">
        <v>76</v>
      </c>
      <c r="F11" s="12" t="s">
        <v>33</v>
      </c>
      <c r="G11" s="12" t="s">
        <v>34</v>
      </c>
      <c r="H11" s="12" t="s">
        <v>26</v>
      </c>
      <c r="I11" s="12" t="s">
        <v>27</v>
      </c>
      <c r="J11" s="12" t="s">
        <v>28</v>
      </c>
      <c r="K11" s="12" t="s">
        <v>29</v>
      </c>
      <c r="L11" s="12" t="s">
        <v>2</v>
      </c>
      <c r="M11" s="12" t="s">
        <v>2</v>
      </c>
      <c r="N11" s="12" t="s">
        <v>105</v>
      </c>
      <c r="O11" s="12" t="s">
        <v>105</v>
      </c>
      <c r="P11" s="12" t="s">
        <v>101</v>
      </c>
      <c r="Q11" s="12" t="s">
        <v>118</v>
      </c>
      <c r="R11" s="12" t="s">
        <v>140</v>
      </c>
      <c r="S11" s="18">
        <f>_xlfn.XLOOKUP(R11,'Price Assumptions'!E:E,'Price Assumptions'!G:G)</f>
        <v>3.9</v>
      </c>
      <c r="T11" s="18">
        <f t="shared" si="0"/>
        <v>978666.31814547081</v>
      </c>
      <c r="U11" s="12" t="s">
        <v>30</v>
      </c>
      <c r="V11" s="12" t="s">
        <v>9</v>
      </c>
      <c r="W11" s="19">
        <v>250940.08157576175</v>
      </c>
    </row>
    <row r="12" spans="3:26" x14ac:dyDescent="0.3">
      <c r="C12" s="12">
        <v>2024</v>
      </c>
      <c r="D12" s="12" t="s">
        <v>77</v>
      </c>
      <c r="E12" s="12" t="s">
        <v>78</v>
      </c>
      <c r="F12" s="12" t="s">
        <v>33</v>
      </c>
      <c r="G12" s="12" t="s">
        <v>34</v>
      </c>
      <c r="H12" s="12" t="s">
        <v>26</v>
      </c>
      <c r="I12" s="12" t="s">
        <v>27</v>
      </c>
      <c r="J12" s="12" t="s">
        <v>28</v>
      </c>
      <c r="K12" s="12" t="s">
        <v>29</v>
      </c>
      <c r="L12" s="12" t="s">
        <v>2</v>
      </c>
      <c r="M12" s="12" t="s">
        <v>2</v>
      </c>
      <c r="N12" s="12" t="s">
        <v>105</v>
      </c>
      <c r="O12" s="12" t="s">
        <v>105</v>
      </c>
      <c r="P12" s="12" t="s">
        <v>100</v>
      </c>
      <c r="Q12" s="12" t="s">
        <v>100</v>
      </c>
      <c r="R12" s="12" t="s">
        <v>139</v>
      </c>
      <c r="S12" s="18">
        <f>_xlfn.XLOOKUP(R12,'Price Assumptions'!E:E,'Price Assumptions'!G:G)</f>
        <v>10.974</v>
      </c>
      <c r="T12" s="18">
        <f t="shared" si="0"/>
        <v>5374392.3420078913</v>
      </c>
      <c r="U12" s="12" t="s">
        <v>30</v>
      </c>
      <c r="V12" s="12" t="s">
        <v>9</v>
      </c>
      <c r="W12" s="19">
        <v>489738.68616802362</v>
      </c>
    </row>
    <row r="13" spans="3:26" x14ac:dyDescent="0.3">
      <c r="C13" s="12">
        <v>2024</v>
      </c>
      <c r="D13" s="12" t="s">
        <v>81</v>
      </c>
      <c r="E13" s="12" t="s">
        <v>82</v>
      </c>
      <c r="F13" s="12" t="s">
        <v>33</v>
      </c>
      <c r="G13" s="12" t="s">
        <v>34</v>
      </c>
      <c r="H13" s="12" t="s">
        <v>26</v>
      </c>
      <c r="I13" s="12" t="s">
        <v>27</v>
      </c>
      <c r="J13" s="12" t="s">
        <v>28</v>
      </c>
      <c r="K13" s="12" t="s">
        <v>29</v>
      </c>
      <c r="L13" s="12" t="s">
        <v>2</v>
      </c>
      <c r="M13" s="12" t="s">
        <v>2</v>
      </c>
      <c r="N13" s="12" t="s">
        <v>106</v>
      </c>
      <c r="O13" s="12" t="s">
        <v>106</v>
      </c>
      <c r="P13" s="12" t="s">
        <v>100</v>
      </c>
      <c r="Q13" s="12" t="s">
        <v>100</v>
      </c>
      <c r="R13" s="12" t="s">
        <v>139</v>
      </c>
      <c r="S13" s="18">
        <f>_xlfn.XLOOKUP(R13,'Price Assumptions'!E:E,'Price Assumptions'!G:G)</f>
        <v>10.974</v>
      </c>
      <c r="T13" s="18">
        <f t="shared" si="0"/>
        <v>5614138.2533315625</v>
      </c>
      <c r="U13" s="12" t="s">
        <v>30</v>
      </c>
      <c r="V13" s="12" t="s">
        <v>9</v>
      </c>
      <c r="W13" s="19">
        <v>511585.40671875002</v>
      </c>
    </row>
    <row r="14" spans="3:26" x14ac:dyDescent="0.3">
      <c r="C14" s="12">
        <v>2024</v>
      </c>
      <c r="D14" s="12" t="s">
        <v>97</v>
      </c>
      <c r="E14" s="12" t="s">
        <v>98</v>
      </c>
      <c r="F14" s="12" t="s">
        <v>33</v>
      </c>
      <c r="G14" s="12" t="s">
        <v>34</v>
      </c>
      <c r="H14" s="12" t="s">
        <v>26</v>
      </c>
      <c r="I14" s="12" t="s">
        <v>27</v>
      </c>
      <c r="J14" s="12" t="s">
        <v>28</v>
      </c>
      <c r="K14" s="12" t="s">
        <v>29</v>
      </c>
      <c r="L14" s="12" t="s">
        <v>2</v>
      </c>
      <c r="M14" s="12" t="s">
        <v>2</v>
      </c>
      <c r="N14" s="12" t="s">
        <v>105</v>
      </c>
      <c r="O14" s="12" t="s">
        <v>105</v>
      </c>
      <c r="P14" s="12" t="s">
        <v>101</v>
      </c>
      <c r="Q14" s="12" t="s">
        <v>118</v>
      </c>
      <c r="R14" s="12" t="s">
        <v>140</v>
      </c>
      <c r="S14" s="18">
        <f>_xlfn.XLOOKUP(R14,'Price Assumptions'!E:E,'Price Assumptions'!G:G)</f>
        <v>3.9</v>
      </c>
      <c r="T14" s="18">
        <f t="shared" si="0"/>
        <v>410050.84535811294</v>
      </c>
      <c r="U14" s="12" t="s">
        <v>30</v>
      </c>
      <c r="V14" s="12" t="s">
        <v>9</v>
      </c>
      <c r="W14" s="19">
        <v>105141.24239951614</v>
      </c>
    </row>
    <row r="15" spans="3:26" x14ac:dyDescent="0.3">
      <c r="C15" s="12">
        <v>2024</v>
      </c>
      <c r="D15" s="12" t="s">
        <v>85</v>
      </c>
      <c r="E15" s="12" t="s">
        <v>86</v>
      </c>
      <c r="F15" s="12" t="s">
        <v>25</v>
      </c>
      <c r="G15" s="12" t="s">
        <v>87</v>
      </c>
      <c r="H15" s="12" t="s">
        <v>26</v>
      </c>
      <c r="I15" s="12" t="s">
        <v>27</v>
      </c>
      <c r="J15" s="12" t="s">
        <v>28</v>
      </c>
      <c r="K15" s="12" t="s">
        <v>29</v>
      </c>
      <c r="L15" s="12" t="s">
        <v>2</v>
      </c>
      <c r="M15" s="12" t="s">
        <v>2</v>
      </c>
      <c r="N15" s="12" t="s">
        <v>103</v>
      </c>
      <c r="O15" s="12" t="s">
        <v>103</v>
      </c>
      <c r="P15" s="12" t="s">
        <v>101</v>
      </c>
      <c r="Q15" s="12" t="s">
        <v>118</v>
      </c>
      <c r="R15" s="12" t="s">
        <v>140</v>
      </c>
      <c r="S15" s="18">
        <f>_xlfn.XLOOKUP(R15,'Price Assumptions'!E:E,'Price Assumptions'!G:G)</f>
        <v>3.9</v>
      </c>
      <c r="T15" s="18">
        <f t="shared" si="0"/>
        <v>300350.13288244989</v>
      </c>
      <c r="U15" s="12" t="s">
        <v>30</v>
      </c>
      <c r="V15" s="12" t="s">
        <v>9</v>
      </c>
      <c r="W15" s="19">
        <v>77012.854585243564</v>
      </c>
    </row>
    <row r="16" spans="3:26" x14ac:dyDescent="0.3">
      <c r="C16" s="12">
        <v>2025</v>
      </c>
      <c r="D16" s="12" t="s">
        <v>37</v>
      </c>
      <c r="E16" s="12" t="s">
        <v>38</v>
      </c>
      <c r="F16" s="12" t="s">
        <v>33</v>
      </c>
      <c r="G16" s="12" t="s">
        <v>34</v>
      </c>
      <c r="H16" s="12" t="s">
        <v>26</v>
      </c>
      <c r="I16" s="12" t="s">
        <v>27</v>
      </c>
      <c r="J16" s="12" t="s">
        <v>28</v>
      </c>
      <c r="K16" s="12" t="s">
        <v>29</v>
      </c>
      <c r="L16" s="12" t="s">
        <v>2</v>
      </c>
      <c r="M16" s="12" t="s">
        <v>2</v>
      </c>
      <c r="N16" s="12" t="s">
        <v>107</v>
      </c>
      <c r="O16" s="12" t="s">
        <v>99</v>
      </c>
      <c r="P16" s="12" t="s">
        <v>101</v>
      </c>
      <c r="Q16" s="12" t="s">
        <v>118</v>
      </c>
      <c r="R16" s="12" t="s">
        <v>141</v>
      </c>
      <c r="S16" s="18">
        <f>_xlfn.XLOOKUP(R16,'Price Assumptions'!E:E,'Price Assumptions'!G:G)</f>
        <v>3.9</v>
      </c>
      <c r="T16" s="18">
        <f t="shared" si="0"/>
        <v>2268649.6557609676</v>
      </c>
      <c r="U16" s="12" t="s">
        <v>30</v>
      </c>
      <c r="V16" s="12" t="s">
        <v>9</v>
      </c>
      <c r="W16" s="19">
        <v>581705.0399387097</v>
      </c>
    </row>
    <row r="17" spans="3:23" x14ac:dyDescent="0.3">
      <c r="C17" s="12">
        <v>2025</v>
      </c>
      <c r="D17" s="12" t="s">
        <v>37</v>
      </c>
      <c r="E17" s="12" t="s">
        <v>38</v>
      </c>
      <c r="F17" s="12" t="s">
        <v>33</v>
      </c>
      <c r="G17" s="12" t="s">
        <v>34</v>
      </c>
      <c r="H17" s="12" t="s">
        <v>26</v>
      </c>
      <c r="I17" s="12" t="s">
        <v>27</v>
      </c>
      <c r="J17" s="12" t="s">
        <v>28</v>
      </c>
      <c r="K17" s="12" t="s">
        <v>29</v>
      </c>
      <c r="L17" s="12" t="s">
        <v>2</v>
      </c>
      <c r="M17" s="12" t="s">
        <v>2</v>
      </c>
      <c r="N17" s="12" t="s">
        <v>99</v>
      </c>
      <c r="O17" s="12" t="s">
        <v>99</v>
      </c>
      <c r="P17" s="12" t="s">
        <v>100</v>
      </c>
      <c r="Q17" s="12" t="s">
        <v>100</v>
      </c>
      <c r="R17" s="12" t="s">
        <v>142</v>
      </c>
      <c r="S17" s="18">
        <f>_xlfn.XLOOKUP(R17,'Price Assumptions'!E:E,'Price Assumptions'!G:G)</f>
        <v>10.974</v>
      </c>
      <c r="T17" s="18">
        <f t="shared" si="0"/>
        <v>6731075.889223217</v>
      </c>
      <c r="U17" s="12" t="s">
        <v>30</v>
      </c>
      <c r="V17" s="12" t="s">
        <v>9</v>
      </c>
      <c r="W17" s="19">
        <v>613365.7635523252</v>
      </c>
    </row>
    <row r="18" spans="3:23" x14ac:dyDescent="0.3">
      <c r="C18" s="12">
        <v>2025</v>
      </c>
      <c r="D18" s="12" t="s">
        <v>39</v>
      </c>
      <c r="E18" s="12" t="s">
        <v>40</v>
      </c>
      <c r="F18" s="12" t="s">
        <v>33</v>
      </c>
      <c r="G18" s="12" t="s">
        <v>34</v>
      </c>
      <c r="H18" s="12" t="s">
        <v>26</v>
      </c>
      <c r="I18" s="12" t="s">
        <v>27</v>
      </c>
      <c r="J18" s="12" t="s">
        <v>28</v>
      </c>
      <c r="K18" s="12" t="s">
        <v>29</v>
      </c>
      <c r="L18" s="12" t="s">
        <v>2</v>
      </c>
      <c r="M18" s="12" t="s">
        <v>2</v>
      </c>
      <c r="N18" s="12" t="s">
        <v>107</v>
      </c>
      <c r="O18" s="12" t="s">
        <v>107</v>
      </c>
      <c r="P18" s="12" t="s">
        <v>108</v>
      </c>
      <c r="Q18" s="12" t="s">
        <v>100</v>
      </c>
      <c r="R18" s="12" t="s">
        <v>142</v>
      </c>
      <c r="S18" s="18">
        <f>_xlfn.XLOOKUP(R18,'Price Assumptions'!E:E,'Price Assumptions'!G:G)</f>
        <v>10.974</v>
      </c>
      <c r="T18" s="18">
        <f t="shared" si="0"/>
        <v>1956751.0538880352</v>
      </c>
      <c r="U18" s="12" t="s">
        <v>30</v>
      </c>
      <c r="V18" s="12" t="s">
        <v>9</v>
      </c>
      <c r="W18" s="19">
        <v>178307.91451503875</v>
      </c>
    </row>
    <row r="19" spans="3:23" x14ac:dyDescent="0.3">
      <c r="C19" s="12">
        <v>2025</v>
      </c>
      <c r="D19" s="12" t="s">
        <v>43</v>
      </c>
      <c r="E19" s="12" t="s">
        <v>44</v>
      </c>
      <c r="F19" s="12" t="s">
        <v>33</v>
      </c>
      <c r="G19" s="12" t="s">
        <v>34</v>
      </c>
      <c r="H19" s="12" t="s">
        <v>26</v>
      </c>
      <c r="I19" s="12" t="s">
        <v>27</v>
      </c>
      <c r="J19" s="12" t="s">
        <v>28</v>
      </c>
      <c r="K19" s="12" t="s">
        <v>29</v>
      </c>
      <c r="L19" s="12" t="s">
        <v>2</v>
      </c>
      <c r="M19" s="12" t="s">
        <v>2</v>
      </c>
      <c r="N19" s="12" t="s">
        <v>99</v>
      </c>
      <c r="O19" s="12" t="s">
        <v>99</v>
      </c>
      <c r="P19" s="12" t="s">
        <v>101</v>
      </c>
      <c r="Q19" s="12" t="s">
        <v>118</v>
      </c>
      <c r="R19" s="12" t="s">
        <v>141</v>
      </c>
      <c r="S19" s="18">
        <f>_xlfn.XLOOKUP(R19,'Price Assumptions'!E:E,'Price Assumptions'!G:G)</f>
        <v>3.9</v>
      </c>
      <c r="T19" s="18">
        <f t="shared" si="0"/>
        <v>1430384.6235622095</v>
      </c>
      <c r="U19" s="12" t="s">
        <v>30</v>
      </c>
      <c r="V19" s="12" t="s">
        <v>9</v>
      </c>
      <c r="W19" s="19">
        <v>366765.28809287422</v>
      </c>
    </row>
    <row r="20" spans="3:23" x14ac:dyDescent="0.3">
      <c r="C20" s="12">
        <v>2025</v>
      </c>
      <c r="D20" s="12" t="s">
        <v>45</v>
      </c>
      <c r="E20" s="12" t="s">
        <v>46</v>
      </c>
      <c r="F20" s="12" t="s">
        <v>33</v>
      </c>
      <c r="G20" s="12" t="s">
        <v>34</v>
      </c>
      <c r="H20" s="12" t="s">
        <v>26</v>
      </c>
      <c r="I20" s="12" t="s">
        <v>27</v>
      </c>
      <c r="J20" s="12" t="s">
        <v>28</v>
      </c>
      <c r="K20" s="12" t="s">
        <v>29</v>
      </c>
      <c r="L20" s="12" t="s">
        <v>2</v>
      </c>
      <c r="M20" s="12" t="s">
        <v>2</v>
      </c>
      <c r="N20" s="12" t="s">
        <v>102</v>
      </c>
      <c r="O20" s="12" t="s">
        <v>102</v>
      </c>
      <c r="P20" s="12" t="s">
        <v>101</v>
      </c>
      <c r="Q20" s="12" t="s">
        <v>118</v>
      </c>
      <c r="R20" s="12" t="s">
        <v>141</v>
      </c>
      <c r="S20" s="18">
        <f>_xlfn.XLOOKUP(R20,'Price Assumptions'!E:E,'Price Assumptions'!G:G)</f>
        <v>3.9</v>
      </c>
      <c r="T20" s="18">
        <f t="shared" si="0"/>
        <v>1300755.0043117437</v>
      </c>
      <c r="U20" s="12" t="s">
        <v>30</v>
      </c>
      <c r="V20" s="12" t="s">
        <v>9</v>
      </c>
      <c r="W20" s="19">
        <v>333526.92418249836</v>
      </c>
    </row>
    <row r="21" spans="3:23" x14ac:dyDescent="0.3">
      <c r="C21" s="12">
        <v>2025</v>
      </c>
      <c r="D21" s="12" t="s">
        <v>51</v>
      </c>
      <c r="E21" s="12" t="s">
        <v>52</v>
      </c>
      <c r="F21" s="12" t="s">
        <v>33</v>
      </c>
      <c r="G21" s="12" t="s">
        <v>34</v>
      </c>
      <c r="H21" s="12" t="s">
        <v>26</v>
      </c>
      <c r="I21" s="12" t="s">
        <v>27</v>
      </c>
      <c r="J21" s="12" t="s">
        <v>28</v>
      </c>
      <c r="K21" s="12" t="s">
        <v>29</v>
      </c>
      <c r="L21" s="12" t="s">
        <v>2</v>
      </c>
      <c r="M21" s="12" t="s">
        <v>2</v>
      </c>
      <c r="N21" s="12" t="s">
        <v>103</v>
      </c>
      <c r="O21" s="12" t="s">
        <v>103</v>
      </c>
      <c r="P21" s="12" t="s">
        <v>101</v>
      </c>
      <c r="Q21" s="12" t="s">
        <v>118</v>
      </c>
      <c r="R21" s="12" t="s">
        <v>141</v>
      </c>
      <c r="S21" s="18">
        <f>_xlfn.XLOOKUP(R21,'Price Assumptions'!E:E,'Price Assumptions'!G:G)</f>
        <v>3.9</v>
      </c>
      <c r="T21" s="18">
        <f t="shared" si="0"/>
        <v>21746480.768776022</v>
      </c>
      <c r="U21" s="12" t="s">
        <v>30</v>
      </c>
      <c r="V21" s="12" t="s">
        <v>9</v>
      </c>
      <c r="W21" s="19">
        <v>5576020.70994257</v>
      </c>
    </row>
    <row r="22" spans="3:23" x14ac:dyDescent="0.3">
      <c r="C22" s="12">
        <v>2025</v>
      </c>
      <c r="D22" s="12" t="s">
        <v>53</v>
      </c>
      <c r="E22" s="12" t="s">
        <v>54</v>
      </c>
      <c r="F22" s="12" t="s">
        <v>33</v>
      </c>
      <c r="G22" s="12" t="s">
        <v>34</v>
      </c>
      <c r="H22" s="12" t="s">
        <v>26</v>
      </c>
      <c r="I22" s="12" t="s">
        <v>27</v>
      </c>
      <c r="J22" s="12" t="s">
        <v>28</v>
      </c>
      <c r="K22" s="12" t="s">
        <v>29</v>
      </c>
      <c r="L22" s="12" t="s">
        <v>2</v>
      </c>
      <c r="M22" s="12" t="s">
        <v>2</v>
      </c>
      <c r="N22" s="12" t="s">
        <v>107</v>
      </c>
      <c r="O22" s="12" t="s">
        <v>107</v>
      </c>
      <c r="P22" s="12" t="s">
        <v>108</v>
      </c>
      <c r="Q22" s="12" t="s">
        <v>118</v>
      </c>
      <c r="R22" s="12" t="s">
        <v>141</v>
      </c>
      <c r="S22" s="18">
        <f>_xlfn.XLOOKUP(R22,'Price Assumptions'!E:E,'Price Assumptions'!G:G)</f>
        <v>3.9</v>
      </c>
      <c r="T22" s="18">
        <f t="shared" si="0"/>
        <v>1894596.9014921531</v>
      </c>
      <c r="U22" s="12" t="s">
        <v>30</v>
      </c>
      <c r="V22" s="12" t="s">
        <v>9</v>
      </c>
      <c r="W22" s="19">
        <v>485794.07730568026</v>
      </c>
    </row>
    <row r="23" spans="3:23" x14ac:dyDescent="0.3">
      <c r="C23" s="12">
        <v>2025</v>
      </c>
      <c r="D23" s="12" t="s">
        <v>61</v>
      </c>
      <c r="E23" s="12" t="s">
        <v>62</v>
      </c>
      <c r="F23" s="12" t="s">
        <v>33</v>
      </c>
      <c r="G23" s="12" t="s">
        <v>34</v>
      </c>
      <c r="H23" s="12" t="s">
        <v>26</v>
      </c>
      <c r="I23" s="12" t="s">
        <v>27</v>
      </c>
      <c r="J23" s="12" t="s">
        <v>28</v>
      </c>
      <c r="K23" s="12" t="s">
        <v>29</v>
      </c>
      <c r="L23" s="12" t="s">
        <v>2</v>
      </c>
      <c r="M23" s="12" t="s">
        <v>2</v>
      </c>
      <c r="N23" s="12" t="s">
        <v>107</v>
      </c>
      <c r="O23" s="12" t="s">
        <v>107</v>
      </c>
      <c r="P23" s="12" t="s">
        <v>108</v>
      </c>
      <c r="Q23" s="12" t="s">
        <v>100</v>
      </c>
      <c r="R23" s="12" t="s">
        <v>142</v>
      </c>
      <c r="S23" s="18">
        <f>_xlfn.XLOOKUP(R23,'Price Assumptions'!E:E,'Price Assumptions'!G:G)</f>
        <v>10.974</v>
      </c>
      <c r="T23" s="18">
        <f t="shared" si="0"/>
        <v>25081.519217906251</v>
      </c>
      <c r="U23" s="12" t="s">
        <v>30</v>
      </c>
      <c r="V23" s="12" t="s">
        <v>9</v>
      </c>
      <c r="W23" s="19">
        <v>2285.540296875</v>
      </c>
    </row>
    <row r="24" spans="3:23" x14ac:dyDescent="0.3">
      <c r="C24" s="12">
        <v>2025</v>
      </c>
      <c r="D24" s="12" t="s">
        <v>65</v>
      </c>
      <c r="E24" s="12" t="s">
        <v>66</v>
      </c>
      <c r="F24" s="12" t="s">
        <v>33</v>
      </c>
      <c r="G24" s="12" t="s">
        <v>34</v>
      </c>
      <c r="H24" s="12" t="s">
        <v>26</v>
      </c>
      <c r="I24" s="12" t="s">
        <v>27</v>
      </c>
      <c r="J24" s="12" t="s">
        <v>28</v>
      </c>
      <c r="K24" s="12" t="s">
        <v>29</v>
      </c>
      <c r="L24" s="12" t="s">
        <v>2</v>
      </c>
      <c r="M24" s="12" t="s">
        <v>2</v>
      </c>
      <c r="N24" s="12" t="s">
        <v>104</v>
      </c>
      <c r="O24" s="12" t="s">
        <v>104</v>
      </c>
      <c r="P24" s="12" t="s">
        <v>100</v>
      </c>
      <c r="Q24" s="12" t="s">
        <v>100</v>
      </c>
      <c r="R24" s="12" t="s">
        <v>142</v>
      </c>
      <c r="S24" s="18">
        <f>_xlfn.XLOOKUP(R24,'Price Assumptions'!E:E,'Price Assumptions'!G:G)</f>
        <v>10.974</v>
      </c>
      <c r="T24" s="18">
        <f t="shared" si="0"/>
        <v>3042720.7629538504</v>
      </c>
      <c r="U24" s="12" t="s">
        <v>30</v>
      </c>
      <c r="V24" s="12" t="s">
        <v>9</v>
      </c>
      <c r="W24" s="19">
        <v>277266.33524274197</v>
      </c>
    </row>
    <row r="25" spans="3:23" x14ac:dyDescent="0.3">
      <c r="C25" s="12">
        <v>2025</v>
      </c>
      <c r="D25" s="12" t="s">
        <v>69</v>
      </c>
      <c r="E25" s="12" t="s">
        <v>70</v>
      </c>
      <c r="F25" s="12" t="s">
        <v>33</v>
      </c>
      <c r="G25" s="12" t="s">
        <v>34</v>
      </c>
      <c r="H25" s="12" t="s">
        <v>26</v>
      </c>
      <c r="I25" s="12" t="s">
        <v>27</v>
      </c>
      <c r="J25" s="12" t="s">
        <v>28</v>
      </c>
      <c r="K25" s="12" t="s">
        <v>29</v>
      </c>
      <c r="L25" s="12" t="s">
        <v>2</v>
      </c>
      <c r="M25" s="12" t="s">
        <v>2</v>
      </c>
      <c r="N25" s="12" t="s">
        <v>99</v>
      </c>
      <c r="O25" s="12" t="s">
        <v>99</v>
      </c>
      <c r="P25" s="12" t="s">
        <v>100</v>
      </c>
      <c r="Q25" s="12" t="s">
        <v>100</v>
      </c>
      <c r="R25" s="12" t="s">
        <v>142</v>
      </c>
      <c r="S25" s="18">
        <f>_xlfn.XLOOKUP(R25,'Price Assumptions'!E:E,'Price Assumptions'!G:G)</f>
        <v>10.974</v>
      </c>
      <c r="T25" s="18">
        <f t="shared" si="0"/>
        <v>6123322.466661457</v>
      </c>
      <c r="U25" s="12" t="s">
        <v>30</v>
      </c>
      <c r="V25" s="12" t="s">
        <v>9</v>
      </c>
      <c r="W25" s="19">
        <v>557984.5513633549</v>
      </c>
    </row>
    <row r="26" spans="3:23" x14ac:dyDescent="0.3">
      <c r="C26" s="12">
        <v>2025</v>
      </c>
      <c r="D26" s="12" t="s">
        <v>71</v>
      </c>
      <c r="E26" s="12" t="s">
        <v>72</v>
      </c>
      <c r="F26" s="12" t="s">
        <v>33</v>
      </c>
      <c r="G26" s="12" t="s">
        <v>34</v>
      </c>
      <c r="H26" s="12" t="s">
        <v>26</v>
      </c>
      <c r="I26" s="12" t="s">
        <v>27</v>
      </c>
      <c r="J26" s="12" t="s">
        <v>28</v>
      </c>
      <c r="K26" s="12" t="s">
        <v>29</v>
      </c>
      <c r="L26" s="12" t="s">
        <v>2</v>
      </c>
      <c r="M26" s="12" t="s">
        <v>2</v>
      </c>
      <c r="N26" s="12" t="s">
        <v>107</v>
      </c>
      <c r="O26" s="12" t="s">
        <v>107</v>
      </c>
      <c r="P26" s="12" t="s">
        <v>108</v>
      </c>
      <c r="Q26" s="12" t="s">
        <v>118</v>
      </c>
      <c r="R26" s="12" t="s">
        <v>141</v>
      </c>
      <c r="S26" s="18">
        <f>_xlfn.XLOOKUP(R26,'Price Assumptions'!E:E,'Price Assumptions'!G:G)</f>
        <v>3.9</v>
      </c>
      <c r="T26" s="18">
        <f t="shared" si="0"/>
        <v>1315397.4762329638</v>
      </c>
      <c r="U26" s="12" t="s">
        <v>30</v>
      </c>
      <c r="V26" s="12" t="s">
        <v>9</v>
      </c>
      <c r="W26" s="19">
        <v>337281.40416229842</v>
      </c>
    </row>
    <row r="27" spans="3:23" x14ac:dyDescent="0.3">
      <c r="C27" s="12">
        <v>2025</v>
      </c>
      <c r="D27" s="12" t="s">
        <v>75</v>
      </c>
      <c r="E27" s="12" t="s">
        <v>76</v>
      </c>
      <c r="F27" s="12" t="s">
        <v>33</v>
      </c>
      <c r="G27" s="12" t="s">
        <v>34</v>
      </c>
      <c r="H27" s="12" t="s">
        <v>26</v>
      </c>
      <c r="I27" s="12" t="s">
        <v>27</v>
      </c>
      <c r="J27" s="12" t="s">
        <v>28</v>
      </c>
      <c r="K27" s="12" t="s">
        <v>29</v>
      </c>
      <c r="L27" s="12" t="s">
        <v>2</v>
      </c>
      <c r="M27" s="12" t="s">
        <v>2</v>
      </c>
      <c r="N27" s="12" t="s">
        <v>105</v>
      </c>
      <c r="O27" s="12" t="s">
        <v>105</v>
      </c>
      <c r="P27" s="12" t="s">
        <v>101</v>
      </c>
      <c r="Q27" s="12" t="s">
        <v>118</v>
      </c>
      <c r="R27" s="12" t="s">
        <v>141</v>
      </c>
      <c r="S27" s="18">
        <f>_xlfn.XLOOKUP(R27,'Price Assumptions'!E:E,'Price Assumptions'!G:G)</f>
        <v>3.9</v>
      </c>
      <c r="T27" s="18">
        <f t="shared" si="0"/>
        <v>4476457.5337479087</v>
      </c>
      <c r="U27" s="12" t="s">
        <v>30</v>
      </c>
      <c r="V27" s="12" t="s">
        <v>9</v>
      </c>
      <c r="W27" s="19">
        <v>1147809.6240379254</v>
      </c>
    </row>
    <row r="28" spans="3:23" x14ac:dyDescent="0.3">
      <c r="C28" s="12">
        <v>2025</v>
      </c>
      <c r="D28" s="12" t="s">
        <v>77</v>
      </c>
      <c r="E28" s="12" t="s">
        <v>78</v>
      </c>
      <c r="F28" s="12" t="s">
        <v>33</v>
      </c>
      <c r="G28" s="12" t="s">
        <v>34</v>
      </c>
      <c r="H28" s="12" t="s">
        <v>26</v>
      </c>
      <c r="I28" s="12" t="s">
        <v>27</v>
      </c>
      <c r="J28" s="12" t="s">
        <v>28</v>
      </c>
      <c r="K28" s="12" t="s">
        <v>29</v>
      </c>
      <c r="L28" s="12" t="s">
        <v>2</v>
      </c>
      <c r="M28" s="12" t="s">
        <v>2</v>
      </c>
      <c r="N28" s="12" t="s">
        <v>105</v>
      </c>
      <c r="O28" s="12" t="s">
        <v>105</v>
      </c>
      <c r="P28" s="12" t="s">
        <v>100</v>
      </c>
      <c r="Q28" s="12" t="s">
        <v>100</v>
      </c>
      <c r="R28" s="12" t="s">
        <v>142</v>
      </c>
      <c r="S28" s="18">
        <f>_xlfn.XLOOKUP(R28,'Price Assumptions'!E:E,'Price Assumptions'!G:G)</f>
        <v>10.974</v>
      </c>
      <c r="T28" s="18">
        <f t="shared" si="0"/>
        <v>6897715.8408850152</v>
      </c>
      <c r="U28" s="12" t="s">
        <v>30</v>
      </c>
      <c r="V28" s="12" t="s">
        <v>9</v>
      </c>
      <c r="W28" s="19">
        <v>628550.74183388148</v>
      </c>
    </row>
    <row r="29" spans="3:23" x14ac:dyDescent="0.3">
      <c r="C29" s="12">
        <v>2025</v>
      </c>
      <c r="D29" s="12" t="s">
        <v>81</v>
      </c>
      <c r="E29" s="12" t="s">
        <v>82</v>
      </c>
      <c r="F29" s="12" t="s">
        <v>33</v>
      </c>
      <c r="G29" s="12" t="s">
        <v>34</v>
      </c>
      <c r="H29" s="12" t="s">
        <v>26</v>
      </c>
      <c r="I29" s="12" t="s">
        <v>27</v>
      </c>
      <c r="J29" s="12" t="s">
        <v>28</v>
      </c>
      <c r="K29" s="12" t="s">
        <v>29</v>
      </c>
      <c r="L29" s="12" t="s">
        <v>2</v>
      </c>
      <c r="M29" s="12" t="s">
        <v>2</v>
      </c>
      <c r="N29" s="12" t="s">
        <v>106</v>
      </c>
      <c r="O29" s="12" t="s">
        <v>106</v>
      </c>
      <c r="P29" s="12" t="s">
        <v>100</v>
      </c>
      <c r="Q29" s="12" t="s">
        <v>100</v>
      </c>
      <c r="R29" s="12" t="s">
        <v>142</v>
      </c>
      <c r="S29" s="18">
        <f>_xlfn.XLOOKUP(R29,'Price Assumptions'!E:E,'Price Assumptions'!G:G)</f>
        <v>10.974</v>
      </c>
      <c r="T29" s="18">
        <f t="shared" si="0"/>
        <v>7835065.6365654981</v>
      </c>
      <c r="U29" s="12" t="s">
        <v>30</v>
      </c>
      <c r="V29" s="12" t="s">
        <v>9</v>
      </c>
      <c r="W29" s="19">
        <v>713966.25082608871</v>
      </c>
    </row>
    <row r="30" spans="3:23" x14ac:dyDescent="0.3">
      <c r="C30" s="12">
        <v>2025</v>
      </c>
      <c r="D30" s="12" t="s">
        <v>97</v>
      </c>
      <c r="E30" s="12" t="s">
        <v>98</v>
      </c>
      <c r="F30" s="12" t="s">
        <v>33</v>
      </c>
      <c r="G30" s="12" t="s">
        <v>34</v>
      </c>
      <c r="H30" s="12" t="s">
        <v>26</v>
      </c>
      <c r="I30" s="12" t="s">
        <v>27</v>
      </c>
      <c r="J30" s="12" t="s">
        <v>28</v>
      </c>
      <c r="K30" s="12" t="s">
        <v>29</v>
      </c>
      <c r="L30" s="12" t="s">
        <v>2</v>
      </c>
      <c r="M30" s="12" t="s">
        <v>2</v>
      </c>
      <c r="N30" s="12" t="s">
        <v>105</v>
      </c>
      <c r="O30" s="12" t="s">
        <v>105</v>
      </c>
      <c r="P30" s="12" t="s">
        <v>101</v>
      </c>
      <c r="Q30" s="12" t="s">
        <v>118</v>
      </c>
      <c r="R30" s="12" t="s">
        <v>141</v>
      </c>
      <c r="S30" s="18">
        <f>_xlfn.XLOOKUP(R30,'Price Assumptions'!E:E,'Price Assumptions'!G:G)</f>
        <v>3.9</v>
      </c>
      <c r="T30" s="18">
        <f t="shared" si="0"/>
        <v>1551742.7056285113</v>
      </c>
      <c r="U30" s="12" t="s">
        <v>30</v>
      </c>
      <c r="V30" s="12" t="s">
        <v>9</v>
      </c>
      <c r="W30" s="19">
        <v>397882.74503295164</v>
      </c>
    </row>
    <row r="31" spans="3:23" x14ac:dyDescent="0.3">
      <c r="C31" s="12">
        <v>2025</v>
      </c>
      <c r="D31" s="12" t="s">
        <v>85</v>
      </c>
      <c r="E31" s="12" t="s">
        <v>86</v>
      </c>
      <c r="F31" s="12" t="s">
        <v>25</v>
      </c>
      <c r="G31" s="12" t="s">
        <v>87</v>
      </c>
      <c r="H31" s="12" t="s">
        <v>26</v>
      </c>
      <c r="I31" s="12" t="s">
        <v>27</v>
      </c>
      <c r="J31" s="12" t="s">
        <v>28</v>
      </c>
      <c r="K31" s="12" t="s">
        <v>29</v>
      </c>
      <c r="L31" s="12" t="s">
        <v>2</v>
      </c>
      <c r="M31" s="12" t="s">
        <v>2</v>
      </c>
      <c r="N31" s="12" t="s">
        <v>103</v>
      </c>
      <c r="O31" s="12" t="s">
        <v>103</v>
      </c>
      <c r="P31" s="12" t="s">
        <v>101</v>
      </c>
      <c r="Q31" s="12" t="s">
        <v>118</v>
      </c>
      <c r="R31" s="12" t="s">
        <v>141</v>
      </c>
      <c r="S31" s="18">
        <f>_xlfn.XLOOKUP(R31,'Price Assumptions'!E:E,'Price Assumptions'!G:G)</f>
        <v>3.9</v>
      </c>
      <c r="T31" s="18">
        <f t="shared" si="0"/>
        <v>2699728.0807458572</v>
      </c>
      <c r="U31" s="12" t="s">
        <v>30</v>
      </c>
      <c r="V31" s="12" t="s">
        <v>9</v>
      </c>
      <c r="W31" s="19">
        <v>692237.96942201466</v>
      </c>
    </row>
    <row r="32" spans="3:23" x14ac:dyDescent="0.3">
      <c r="C32" s="12">
        <v>2025</v>
      </c>
      <c r="D32" s="12" t="s">
        <v>90</v>
      </c>
      <c r="E32" s="12" t="s">
        <v>91</v>
      </c>
      <c r="F32" s="12" t="s">
        <v>33</v>
      </c>
      <c r="G32" s="12" t="s">
        <v>34</v>
      </c>
      <c r="H32" s="12" t="s">
        <v>26</v>
      </c>
      <c r="I32" s="12" t="s">
        <v>27</v>
      </c>
      <c r="J32" s="12" t="s">
        <v>28</v>
      </c>
      <c r="K32" s="12" t="s">
        <v>29</v>
      </c>
      <c r="L32" s="12" t="s">
        <v>2</v>
      </c>
      <c r="M32" s="12" t="s">
        <v>2</v>
      </c>
      <c r="N32" s="12" t="s">
        <v>107</v>
      </c>
      <c r="O32" s="12" t="s">
        <v>107</v>
      </c>
      <c r="P32" s="12" t="s">
        <v>108</v>
      </c>
      <c r="Q32" s="12" t="s">
        <v>118</v>
      </c>
      <c r="R32" s="12" t="s">
        <v>141</v>
      </c>
      <c r="S32" s="18">
        <f>_xlfn.XLOOKUP(R32,'Price Assumptions'!E:E,'Price Assumptions'!G:G)</f>
        <v>3.9</v>
      </c>
      <c r="T32" s="18">
        <f t="shared" si="0"/>
        <v>366690.32769556454</v>
      </c>
      <c r="U32" s="12" t="s">
        <v>30</v>
      </c>
      <c r="V32" s="12" t="s">
        <v>9</v>
      </c>
      <c r="W32" s="19">
        <v>94023.160947580647</v>
      </c>
    </row>
    <row r="33" spans="3:23" x14ac:dyDescent="0.3">
      <c r="C33" s="12">
        <v>2025</v>
      </c>
      <c r="D33" s="12" t="s">
        <v>92</v>
      </c>
      <c r="E33" s="12" t="s">
        <v>93</v>
      </c>
      <c r="F33" s="12" t="s">
        <v>33</v>
      </c>
      <c r="G33" s="12" t="s">
        <v>34</v>
      </c>
      <c r="H33" s="12" t="s">
        <v>26</v>
      </c>
      <c r="I33" s="12" t="s">
        <v>27</v>
      </c>
      <c r="J33" s="12" t="s">
        <v>28</v>
      </c>
      <c r="K33" s="12" t="s">
        <v>29</v>
      </c>
      <c r="L33" s="12" t="s">
        <v>2</v>
      </c>
      <c r="M33" s="12" t="s">
        <v>2</v>
      </c>
      <c r="N33" s="12" t="s">
        <v>107</v>
      </c>
      <c r="O33" s="12" t="s">
        <v>107</v>
      </c>
      <c r="P33" s="12" t="s">
        <v>108</v>
      </c>
      <c r="Q33" s="12" t="s">
        <v>118</v>
      </c>
      <c r="R33" s="12" t="s">
        <v>141</v>
      </c>
      <c r="S33" s="18">
        <f>_xlfn.XLOOKUP(R33,'Price Assumptions'!E:E,'Price Assumptions'!G:G)</f>
        <v>3.9</v>
      </c>
      <c r="T33" s="18">
        <f t="shared" si="0"/>
        <v>12683439.110935491</v>
      </c>
      <c r="U33" s="12" t="s">
        <v>30</v>
      </c>
      <c r="V33" s="12" t="s">
        <v>9</v>
      </c>
      <c r="W33" s="19">
        <v>3252163.874598844</v>
      </c>
    </row>
    <row r="34" spans="3:23" x14ac:dyDescent="0.3">
      <c r="C34" s="12">
        <v>2026</v>
      </c>
      <c r="D34" s="12" t="s">
        <v>39</v>
      </c>
      <c r="E34" s="12" t="s">
        <v>40</v>
      </c>
      <c r="F34" s="12" t="s">
        <v>33</v>
      </c>
      <c r="G34" s="12" t="s">
        <v>34</v>
      </c>
      <c r="H34" s="12" t="s">
        <v>26</v>
      </c>
      <c r="I34" s="12" t="s">
        <v>27</v>
      </c>
      <c r="J34" s="12" t="s">
        <v>28</v>
      </c>
      <c r="K34" s="12" t="s">
        <v>29</v>
      </c>
      <c r="L34" s="12" t="s">
        <v>2</v>
      </c>
      <c r="M34" s="12" t="s">
        <v>2</v>
      </c>
      <c r="N34" s="12" t="s">
        <v>107</v>
      </c>
      <c r="O34" s="12" t="s">
        <v>107</v>
      </c>
      <c r="P34" s="12" t="s">
        <v>108</v>
      </c>
      <c r="Q34" s="12" t="s">
        <v>100</v>
      </c>
      <c r="R34" s="12" t="s">
        <v>143</v>
      </c>
      <c r="S34" s="18">
        <f>_xlfn.XLOOKUP(R34,'Price Assumptions'!E:E,'Price Assumptions'!G:G)</f>
        <v>10.974</v>
      </c>
      <c r="T34" s="18">
        <f t="shared" si="0"/>
        <v>6783436.4289929466</v>
      </c>
      <c r="U34" s="12" t="s">
        <v>30</v>
      </c>
      <c r="V34" s="12" t="s">
        <v>9</v>
      </c>
      <c r="W34" s="19">
        <v>618137.09030371299</v>
      </c>
    </row>
    <row r="35" spans="3:23" x14ac:dyDescent="0.3">
      <c r="C35" s="12">
        <v>2026</v>
      </c>
      <c r="D35" s="12" t="s">
        <v>43</v>
      </c>
      <c r="E35" s="12" t="s">
        <v>44</v>
      </c>
      <c r="F35" s="12" t="s">
        <v>33</v>
      </c>
      <c r="G35" s="12" t="s">
        <v>34</v>
      </c>
      <c r="H35" s="12" t="s">
        <v>26</v>
      </c>
      <c r="I35" s="12" t="s">
        <v>27</v>
      </c>
      <c r="J35" s="12" t="s">
        <v>28</v>
      </c>
      <c r="K35" s="12" t="s">
        <v>29</v>
      </c>
      <c r="L35" s="12" t="s">
        <v>2</v>
      </c>
      <c r="M35" s="12" t="s">
        <v>2</v>
      </c>
      <c r="N35" s="12" t="s">
        <v>99</v>
      </c>
      <c r="O35" s="12" t="s">
        <v>99</v>
      </c>
      <c r="P35" s="12" t="s">
        <v>101</v>
      </c>
      <c r="Q35" s="12" t="s">
        <v>118</v>
      </c>
      <c r="R35" s="12" t="s">
        <v>144</v>
      </c>
      <c r="S35" s="18">
        <f>_xlfn.XLOOKUP(R35,'Price Assumptions'!E:E,'Price Assumptions'!G:G)</f>
        <v>3.9</v>
      </c>
      <c r="T35" s="18">
        <f t="shared" si="0"/>
        <v>1552778.0256808302</v>
      </c>
      <c r="U35" s="12" t="s">
        <v>30</v>
      </c>
      <c r="V35" s="12" t="s">
        <v>9</v>
      </c>
      <c r="W35" s="19">
        <v>398148.21171303338</v>
      </c>
    </row>
    <row r="36" spans="3:23" x14ac:dyDescent="0.3">
      <c r="C36" s="12">
        <v>2026</v>
      </c>
      <c r="D36" s="12" t="s">
        <v>45</v>
      </c>
      <c r="E36" s="12" t="s">
        <v>46</v>
      </c>
      <c r="F36" s="12" t="s">
        <v>33</v>
      </c>
      <c r="G36" s="12" t="s">
        <v>34</v>
      </c>
      <c r="H36" s="12" t="s">
        <v>26</v>
      </c>
      <c r="I36" s="12" t="s">
        <v>27</v>
      </c>
      <c r="J36" s="12" t="s">
        <v>28</v>
      </c>
      <c r="K36" s="12" t="s">
        <v>29</v>
      </c>
      <c r="L36" s="12" t="s">
        <v>2</v>
      </c>
      <c r="M36" s="12" t="s">
        <v>2</v>
      </c>
      <c r="N36" s="12" t="s">
        <v>102</v>
      </c>
      <c r="O36" s="12" t="s">
        <v>102</v>
      </c>
      <c r="P36" s="12" t="s">
        <v>101</v>
      </c>
      <c r="Q36" s="12" t="s">
        <v>118</v>
      </c>
      <c r="R36" s="12" t="s">
        <v>144</v>
      </c>
      <c r="S36" s="18">
        <f>_xlfn.XLOOKUP(R36,'Price Assumptions'!E:E,'Price Assumptions'!G:G)</f>
        <v>3.9</v>
      </c>
      <c r="T36" s="18">
        <f t="shared" si="0"/>
        <v>3764764.3809210653</v>
      </c>
      <c r="U36" s="12" t="s">
        <v>30</v>
      </c>
      <c r="V36" s="12" t="s">
        <v>9</v>
      </c>
      <c r="W36" s="19">
        <v>965324.20023617067</v>
      </c>
    </row>
    <row r="37" spans="3:23" x14ac:dyDescent="0.3">
      <c r="C37" s="12">
        <v>2026</v>
      </c>
      <c r="D37" s="12" t="s">
        <v>51</v>
      </c>
      <c r="E37" s="12" t="s">
        <v>52</v>
      </c>
      <c r="F37" s="12" t="s">
        <v>33</v>
      </c>
      <c r="G37" s="12" t="s">
        <v>34</v>
      </c>
      <c r="H37" s="12" t="s">
        <v>26</v>
      </c>
      <c r="I37" s="12" t="s">
        <v>27</v>
      </c>
      <c r="J37" s="12" t="s">
        <v>28</v>
      </c>
      <c r="K37" s="12" t="s">
        <v>29</v>
      </c>
      <c r="L37" s="12" t="s">
        <v>2</v>
      </c>
      <c r="M37" s="12" t="s">
        <v>2</v>
      </c>
      <c r="N37" s="12" t="s">
        <v>103</v>
      </c>
      <c r="O37" s="12" t="s">
        <v>103</v>
      </c>
      <c r="P37" s="12" t="s">
        <v>101</v>
      </c>
      <c r="Q37" s="12" t="s">
        <v>118</v>
      </c>
      <c r="R37" s="12" t="s">
        <v>144</v>
      </c>
      <c r="S37" s="18">
        <f>_xlfn.XLOOKUP(R37,'Price Assumptions'!E:E,'Price Assumptions'!G:G)</f>
        <v>3.9</v>
      </c>
      <c r="T37" s="18">
        <f t="shared" si="0"/>
        <v>31554368.707653299</v>
      </c>
      <c r="U37" s="12" t="s">
        <v>30</v>
      </c>
      <c r="V37" s="12" t="s">
        <v>9</v>
      </c>
      <c r="W37" s="19">
        <v>8090863.7711931542</v>
      </c>
    </row>
    <row r="38" spans="3:23" x14ac:dyDescent="0.3">
      <c r="C38" s="12">
        <v>2026</v>
      </c>
      <c r="D38" s="12" t="s">
        <v>55</v>
      </c>
      <c r="E38" s="12" t="s">
        <v>56</v>
      </c>
      <c r="F38" s="12" t="s">
        <v>33</v>
      </c>
      <c r="G38" s="12" t="s">
        <v>34</v>
      </c>
      <c r="H38" s="12" t="s">
        <v>26</v>
      </c>
      <c r="I38" s="12" t="s">
        <v>27</v>
      </c>
      <c r="J38" s="12" t="s">
        <v>28</v>
      </c>
      <c r="K38" s="12" t="s">
        <v>29</v>
      </c>
      <c r="L38" s="12" t="s">
        <v>2</v>
      </c>
      <c r="M38" s="12" t="s">
        <v>2</v>
      </c>
      <c r="N38" s="12" t="s">
        <v>107</v>
      </c>
      <c r="O38" s="12" t="s">
        <v>107</v>
      </c>
      <c r="P38" s="12" t="s">
        <v>108</v>
      </c>
      <c r="Q38" s="12" t="s">
        <v>118</v>
      </c>
      <c r="R38" s="12" t="s">
        <v>144</v>
      </c>
      <c r="S38" s="18">
        <f>_xlfn.XLOOKUP(R38,'Price Assumptions'!E:E,'Price Assumptions'!G:G)</f>
        <v>3.9</v>
      </c>
      <c r="T38" s="18">
        <f t="shared" si="0"/>
        <v>46621.593937016136</v>
      </c>
      <c r="U38" s="12" t="s">
        <v>30</v>
      </c>
      <c r="V38" s="12" t="s">
        <v>9</v>
      </c>
      <c r="W38" s="19">
        <v>11954.254855645164</v>
      </c>
    </row>
    <row r="39" spans="3:23" x14ac:dyDescent="0.3">
      <c r="C39" s="12">
        <v>2026</v>
      </c>
      <c r="D39" s="12" t="s">
        <v>65</v>
      </c>
      <c r="E39" s="12" t="s">
        <v>66</v>
      </c>
      <c r="F39" s="12" t="s">
        <v>33</v>
      </c>
      <c r="G39" s="12" t="s">
        <v>34</v>
      </c>
      <c r="H39" s="12" t="s">
        <v>26</v>
      </c>
      <c r="I39" s="12" t="s">
        <v>27</v>
      </c>
      <c r="J39" s="12" t="s">
        <v>28</v>
      </c>
      <c r="K39" s="12" t="s">
        <v>29</v>
      </c>
      <c r="L39" s="12" t="s">
        <v>2</v>
      </c>
      <c r="M39" s="12" t="s">
        <v>2</v>
      </c>
      <c r="N39" s="12" t="s">
        <v>104</v>
      </c>
      <c r="O39" s="12" t="s">
        <v>104</v>
      </c>
      <c r="P39" s="12" t="s">
        <v>100</v>
      </c>
      <c r="Q39" s="12" t="s">
        <v>100</v>
      </c>
      <c r="R39" s="12" t="s">
        <v>143</v>
      </c>
      <c r="S39" s="18">
        <f>_xlfn.XLOOKUP(R39,'Price Assumptions'!E:E,'Price Assumptions'!G:G)</f>
        <v>10.974</v>
      </c>
      <c r="T39" s="18">
        <f t="shared" si="0"/>
        <v>4831770.6204315508</v>
      </c>
      <c r="U39" s="12" t="s">
        <v>30</v>
      </c>
      <c r="V39" s="12" t="s">
        <v>9</v>
      </c>
      <c r="W39" s="19">
        <v>440292.56610456994</v>
      </c>
    </row>
    <row r="40" spans="3:23" x14ac:dyDescent="0.3">
      <c r="C40" s="12">
        <v>2026</v>
      </c>
      <c r="D40" s="12" t="s">
        <v>69</v>
      </c>
      <c r="E40" s="12" t="s">
        <v>70</v>
      </c>
      <c r="F40" s="12" t="s">
        <v>33</v>
      </c>
      <c r="G40" s="12" t="s">
        <v>34</v>
      </c>
      <c r="H40" s="12" t="s">
        <v>26</v>
      </c>
      <c r="I40" s="12" t="s">
        <v>27</v>
      </c>
      <c r="J40" s="12" t="s">
        <v>28</v>
      </c>
      <c r="K40" s="12" t="s">
        <v>29</v>
      </c>
      <c r="L40" s="12" t="s">
        <v>2</v>
      </c>
      <c r="M40" s="12" t="s">
        <v>2</v>
      </c>
      <c r="N40" s="12" t="s">
        <v>99</v>
      </c>
      <c r="O40" s="12" t="s">
        <v>99</v>
      </c>
      <c r="P40" s="12" t="s">
        <v>100</v>
      </c>
      <c r="Q40" s="12" t="s">
        <v>100</v>
      </c>
      <c r="R40" s="12" t="s">
        <v>143</v>
      </c>
      <c r="S40" s="18">
        <f>_xlfn.XLOOKUP(R40,'Price Assumptions'!E:E,'Price Assumptions'!G:G)</f>
        <v>10.974</v>
      </c>
      <c r="T40" s="18">
        <f t="shared" si="0"/>
        <v>16290382.554627175</v>
      </c>
      <c r="U40" s="12" t="s">
        <v>30</v>
      </c>
      <c r="V40" s="12" t="s">
        <v>9</v>
      </c>
      <c r="W40" s="19">
        <v>1484452.5746880968</v>
      </c>
    </row>
    <row r="41" spans="3:23" x14ac:dyDescent="0.3">
      <c r="C41" s="12">
        <v>2026</v>
      </c>
      <c r="D41" s="12" t="s">
        <v>71</v>
      </c>
      <c r="E41" s="12" t="s">
        <v>72</v>
      </c>
      <c r="F41" s="12" t="s">
        <v>33</v>
      </c>
      <c r="G41" s="12" t="s">
        <v>34</v>
      </c>
      <c r="H41" s="12" t="s">
        <v>26</v>
      </c>
      <c r="I41" s="12" t="s">
        <v>27</v>
      </c>
      <c r="J41" s="12" t="s">
        <v>28</v>
      </c>
      <c r="K41" s="12" t="s">
        <v>29</v>
      </c>
      <c r="L41" s="12" t="s">
        <v>2</v>
      </c>
      <c r="M41" s="12" t="s">
        <v>2</v>
      </c>
      <c r="N41" s="12" t="s">
        <v>107</v>
      </c>
      <c r="O41" s="12" t="s">
        <v>107</v>
      </c>
      <c r="P41" s="12" t="s">
        <v>108</v>
      </c>
      <c r="Q41" s="12" t="s">
        <v>118</v>
      </c>
      <c r="R41" s="12" t="s">
        <v>144</v>
      </c>
      <c r="S41" s="18">
        <f>_xlfn.XLOOKUP(R41,'Price Assumptions'!E:E,'Price Assumptions'!G:G)</f>
        <v>3.9</v>
      </c>
      <c r="T41" s="18">
        <f t="shared" si="0"/>
        <v>5136557.4418709986</v>
      </c>
      <c r="U41" s="12" t="s">
        <v>30</v>
      </c>
      <c r="V41" s="12" t="s">
        <v>9</v>
      </c>
      <c r="W41" s="19">
        <v>1317066.0107361535</v>
      </c>
    </row>
    <row r="42" spans="3:23" x14ac:dyDescent="0.3">
      <c r="C42" s="12">
        <v>2026</v>
      </c>
      <c r="D42" s="12" t="s">
        <v>75</v>
      </c>
      <c r="E42" s="12" t="s">
        <v>76</v>
      </c>
      <c r="F42" s="12" t="s">
        <v>33</v>
      </c>
      <c r="G42" s="12" t="s">
        <v>34</v>
      </c>
      <c r="H42" s="12" t="s">
        <v>26</v>
      </c>
      <c r="I42" s="12" t="s">
        <v>27</v>
      </c>
      <c r="J42" s="12" t="s">
        <v>28</v>
      </c>
      <c r="K42" s="12" t="s">
        <v>29</v>
      </c>
      <c r="L42" s="12" t="s">
        <v>2</v>
      </c>
      <c r="M42" s="12" t="s">
        <v>2</v>
      </c>
      <c r="N42" s="12" t="s">
        <v>105</v>
      </c>
      <c r="O42" s="12" t="s">
        <v>105</v>
      </c>
      <c r="P42" s="12" t="s">
        <v>101</v>
      </c>
      <c r="Q42" s="12" t="s">
        <v>118</v>
      </c>
      <c r="R42" s="12" t="s">
        <v>144</v>
      </c>
      <c r="S42" s="18">
        <f>_xlfn.XLOOKUP(R42,'Price Assumptions'!E:E,'Price Assumptions'!G:G)</f>
        <v>3.9</v>
      </c>
      <c r="T42" s="18">
        <f t="shared" si="0"/>
        <v>8787908.4885266479</v>
      </c>
      <c r="U42" s="12" t="s">
        <v>30</v>
      </c>
      <c r="V42" s="12" t="s">
        <v>9</v>
      </c>
      <c r="W42" s="19">
        <v>2253309.8688529865</v>
      </c>
    </row>
    <row r="43" spans="3:23" x14ac:dyDescent="0.3">
      <c r="C43" s="12">
        <v>2026</v>
      </c>
      <c r="D43" s="12" t="s">
        <v>77</v>
      </c>
      <c r="E43" s="12" t="s">
        <v>78</v>
      </c>
      <c r="F43" s="12" t="s">
        <v>33</v>
      </c>
      <c r="G43" s="12" t="s">
        <v>34</v>
      </c>
      <c r="H43" s="12" t="s">
        <v>26</v>
      </c>
      <c r="I43" s="12" t="s">
        <v>27</v>
      </c>
      <c r="J43" s="12" t="s">
        <v>28</v>
      </c>
      <c r="K43" s="12" t="s">
        <v>29</v>
      </c>
      <c r="L43" s="12" t="s">
        <v>2</v>
      </c>
      <c r="M43" s="12" t="s">
        <v>2</v>
      </c>
      <c r="N43" s="12" t="s">
        <v>105</v>
      </c>
      <c r="O43" s="12" t="s">
        <v>105</v>
      </c>
      <c r="P43" s="12" t="s">
        <v>100</v>
      </c>
      <c r="Q43" s="12" t="s">
        <v>100</v>
      </c>
      <c r="R43" s="12" t="s">
        <v>143</v>
      </c>
      <c r="S43" s="18">
        <f>_xlfn.XLOOKUP(R43,'Price Assumptions'!E:E,'Price Assumptions'!G:G)</f>
        <v>10.974</v>
      </c>
      <c r="T43" s="18">
        <f t="shared" si="0"/>
        <v>19257087.195338901</v>
      </c>
      <c r="U43" s="12" t="s">
        <v>30</v>
      </c>
      <c r="V43" s="12" t="s">
        <v>9</v>
      </c>
      <c r="W43" s="19">
        <v>1754791.9806213686</v>
      </c>
    </row>
    <row r="44" spans="3:23" x14ac:dyDescent="0.3">
      <c r="C44" s="12">
        <v>2026</v>
      </c>
      <c r="D44" s="12" t="s">
        <v>81</v>
      </c>
      <c r="E44" s="12" t="s">
        <v>82</v>
      </c>
      <c r="F44" s="12" t="s">
        <v>33</v>
      </c>
      <c r="G44" s="12" t="s">
        <v>34</v>
      </c>
      <c r="H44" s="12" t="s">
        <v>26</v>
      </c>
      <c r="I44" s="12" t="s">
        <v>27</v>
      </c>
      <c r="J44" s="12" t="s">
        <v>28</v>
      </c>
      <c r="K44" s="12" t="s">
        <v>29</v>
      </c>
      <c r="L44" s="12" t="s">
        <v>2</v>
      </c>
      <c r="M44" s="12" t="s">
        <v>2</v>
      </c>
      <c r="N44" s="12" t="s">
        <v>106</v>
      </c>
      <c r="O44" s="12" t="s">
        <v>106</v>
      </c>
      <c r="P44" s="12" t="s">
        <v>100</v>
      </c>
      <c r="Q44" s="12" t="s">
        <v>100</v>
      </c>
      <c r="R44" s="12" t="s">
        <v>143</v>
      </c>
      <c r="S44" s="18">
        <f>_xlfn.XLOOKUP(R44,'Price Assumptions'!E:E,'Price Assumptions'!G:G)</f>
        <v>10.974</v>
      </c>
      <c r="T44" s="18">
        <f t="shared" si="0"/>
        <v>7779675.3011336569</v>
      </c>
      <c r="U44" s="12" t="s">
        <v>30</v>
      </c>
      <c r="V44" s="12" t="s">
        <v>9</v>
      </c>
      <c r="W44" s="19">
        <v>708918.83553250018</v>
      </c>
    </row>
    <row r="45" spans="3:23" x14ac:dyDescent="0.3">
      <c r="C45" s="12">
        <v>2026</v>
      </c>
      <c r="D45" s="12" t="s">
        <v>97</v>
      </c>
      <c r="E45" s="12" t="s">
        <v>98</v>
      </c>
      <c r="F45" s="12" t="s">
        <v>33</v>
      </c>
      <c r="G45" s="12" t="s">
        <v>34</v>
      </c>
      <c r="H45" s="12" t="s">
        <v>26</v>
      </c>
      <c r="I45" s="12" t="s">
        <v>27</v>
      </c>
      <c r="J45" s="12" t="s">
        <v>28</v>
      </c>
      <c r="K45" s="12" t="s">
        <v>29</v>
      </c>
      <c r="L45" s="12" t="s">
        <v>2</v>
      </c>
      <c r="M45" s="12" t="s">
        <v>2</v>
      </c>
      <c r="N45" s="12" t="s">
        <v>105</v>
      </c>
      <c r="O45" s="12" t="s">
        <v>105</v>
      </c>
      <c r="P45" s="12" t="s">
        <v>101</v>
      </c>
      <c r="Q45" s="12" t="s">
        <v>118</v>
      </c>
      <c r="R45" s="12" t="s">
        <v>144</v>
      </c>
      <c r="S45" s="18">
        <f>_xlfn.XLOOKUP(R45,'Price Assumptions'!E:E,'Price Assumptions'!G:G)</f>
        <v>3.9</v>
      </c>
      <c r="T45" s="18">
        <f t="shared" si="0"/>
        <v>3057813.7951223031</v>
      </c>
      <c r="U45" s="12" t="s">
        <v>30</v>
      </c>
      <c r="V45" s="12" t="s">
        <v>9</v>
      </c>
      <c r="W45" s="19">
        <v>784054.81926212902</v>
      </c>
    </row>
    <row r="46" spans="3:23" x14ac:dyDescent="0.3">
      <c r="C46" s="12">
        <v>2026</v>
      </c>
      <c r="D46" s="12" t="s">
        <v>85</v>
      </c>
      <c r="E46" s="12" t="s">
        <v>86</v>
      </c>
      <c r="F46" s="12" t="s">
        <v>25</v>
      </c>
      <c r="G46" s="12" t="s">
        <v>87</v>
      </c>
      <c r="H46" s="12" t="s">
        <v>26</v>
      </c>
      <c r="I46" s="12" t="s">
        <v>27</v>
      </c>
      <c r="J46" s="12" t="s">
        <v>28</v>
      </c>
      <c r="K46" s="12" t="s">
        <v>29</v>
      </c>
      <c r="L46" s="12" t="s">
        <v>2</v>
      </c>
      <c r="M46" s="12" t="s">
        <v>2</v>
      </c>
      <c r="N46" s="12" t="s">
        <v>103</v>
      </c>
      <c r="O46" s="12" t="s">
        <v>103</v>
      </c>
      <c r="P46" s="12" t="s">
        <v>101</v>
      </c>
      <c r="Q46" s="12" t="s">
        <v>118</v>
      </c>
      <c r="R46" s="12" t="s">
        <v>144</v>
      </c>
      <c r="S46" s="18">
        <f>_xlfn.XLOOKUP(R46,'Price Assumptions'!E:E,'Price Assumptions'!G:G)</f>
        <v>3.9</v>
      </c>
      <c r="T46" s="18">
        <f t="shared" si="0"/>
        <v>7108868.1731789615</v>
      </c>
      <c r="U46" s="12" t="s">
        <v>30</v>
      </c>
      <c r="V46" s="12" t="s">
        <v>9</v>
      </c>
      <c r="W46" s="19">
        <v>1822786.7110715287</v>
      </c>
    </row>
    <row r="47" spans="3:23" x14ac:dyDescent="0.3">
      <c r="C47" s="12">
        <v>2026</v>
      </c>
      <c r="D47" s="12" t="s">
        <v>90</v>
      </c>
      <c r="E47" s="12" t="s">
        <v>91</v>
      </c>
      <c r="F47" s="12" t="s">
        <v>33</v>
      </c>
      <c r="G47" s="12" t="s">
        <v>34</v>
      </c>
      <c r="H47" s="12" t="s">
        <v>26</v>
      </c>
      <c r="I47" s="12" t="s">
        <v>27</v>
      </c>
      <c r="J47" s="12" t="s">
        <v>28</v>
      </c>
      <c r="K47" s="12" t="s">
        <v>29</v>
      </c>
      <c r="L47" s="12" t="s">
        <v>2</v>
      </c>
      <c r="M47" s="12" t="s">
        <v>2</v>
      </c>
      <c r="N47" s="12" t="s">
        <v>107</v>
      </c>
      <c r="O47" s="12" t="s">
        <v>107</v>
      </c>
      <c r="P47" s="12" t="s">
        <v>108</v>
      </c>
      <c r="Q47" s="12" t="s">
        <v>118</v>
      </c>
      <c r="R47" s="12" t="s">
        <v>144</v>
      </c>
      <c r="S47" s="18">
        <f>_xlfn.XLOOKUP(R47,'Price Assumptions'!E:E,'Price Assumptions'!G:G)</f>
        <v>3.9</v>
      </c>
      <c r="T47" s="18">
        <f t="shared" si="0"/>
        <v>2576013.6268094764</v>
      </c>
      <c r="U47" s="12" t="s">
        <v>30</v>
      </c>
      <c r="V47" s="12" t="s">
        <v>9</v>
      </c>
      <c r="W47" s="19">
        <v>660516.31456653238</v>
      </c>
    </row>
    <row r="48" spans="3:23" x14ac:dyDescent="0.3">
      <c r="C48" s="12">
        <v>2027</v>
      </c>
      <c r="D48" s="12" t="s">
        <v>39</v>
      </c>
      <c r="E48" s="12" t="s">
        <v>40</v>
      </c>
      <c r="F48" s="12" t="s">
        <v>33</v>
      </c>
      <c r="G48" s="12" t="s">
        <v>34</v>
      </c>
      <c r="H48" s="12" t="s">
        <v>26</v>
      </c>
      <c r="I48" s="12" t="s">
        <v>27</v>
      </c>
      <c r="J48" s="12" t="s">
        <v>28</v>
      </c>
      <c r="K48" s="12" t="s">
        <v>29</v>
      </c>
      <c r="L48" s="12" t="s">
        <v>2</v>
      </c>
      <c r="M48" s="12" t="s">
        <v>2</v>
      </c>
      <c r="N48" s="12" t="s">
        <v>107</v>
      </c>
      <c r="O48" s="12" t="s">
        <v>107</v>
      </c>
      <c r="P48" s="12" t="s">
        <v>108</v>
      </c>
      <c r="Q48" s="12" t="s">
        <v>100</v>
      </c>
      <c r="R48" s="12" t="s">
        <v>145</v>
      </c>
      <c r="S48" s="18">
        <f>_xlfn.XLOOKUP(R48,'Price Assumptions'!E:E,'Price Assumptions'!G:G)</f>
        <v>10.974</v>
      </c>
      <c r="T48" s="18">
        <f t="shared" si="0"/>
        <v>7059924.9877048433</v>
      </c>
      <c r="U48" s="12" t="s">
        <v>30</v>
      </c>
      <c r="V48" s="12" t="s">
        <v>9</v>
      </c>
      <c r="W48" s="19">
        <v>643331.96534580307</v>
      </c>
    </row>
    <row r="49" spans="3:23" x14ac:dyDescent="0.3">
      <c r="C49" s="12">
        <v>2027</v>
      </c>
      <c r="D49" s="12" t="s">
        <v>43</v>
      </c>
      <c r="E49" s="12" t="s">
        <v>44</v>
      </c>
      <c r="F49" s="12" t="s">
        <v>33</v>
      </c>
      <c r="G49" s="12" t="s">
        <v>34</v>
      </c>
      <c r="H49" s="12" t="s">
        <v>26</v>
      </c>
      <c r="I49" s="12" t="s">
        <v>27</v>
      </c>
      <c r="J49" s="12" t="s">
        <v>28</v>
      </c>
      <c r="K49" s="12" t="s">
        <v>29</v>
      </c>
      <c r="L49" s="12" t="s">
        <v>2</v>
      </c>
      <c r="M49" s="12" t="s">
        <v>2</v>
      </c>
      <c r="N49" s="12" t="s">
        <v>99</v>
      </c>
      <c r="O49" s="12" t="s">
        <v>99</v>
      </c>
      <c r="P49" s="12" t="s">
        <v>101</v>
      </c>
      <c r="Q49" s="12" t="s">
        <v>118</v>
      </c>
      <c r="R49" s="12" t="s">
        <v>146</v>
      </c>
      <c r="S49" s="18">
        <f>_xlfn.XLOOKUP(R49,'Price Assumptions'!E:E,'Price Assumptions'!G:G)</f>
        <v>2.99</v>
      </c>
      <c r="T49" s="18">
        <f t="shared" si="0"/>
        <v>1258994.9026233165</v>
      </c>
      <c r="U49" s="12" t="s">
        <v>30</v>
      </c>
      <c r="V49" s="12" t="s">
        <v>9</v>
      </c>
      <c r="W49" s="19">
        <v>421068.52930545702</v>
      </c>
    </row>
    <row r="50" spans="3:23" x14ac:dyDescent="0.3">
      <c r="C50" s="12">
        <v>2027</v>
      </c>
      <c r="D50" s="12" t="s">
        <v>45</v>
      </c>
      <c r="E50" s="12" t="s">
        <v>46</v>
      </c>
      <c r="F50" s="12" t="s">
        <v>33</v>
      </c>
      <c r="G50" s="12" t="s">
        <v>34</v>
      </c>
      <c r="H50" s="12" t="s">
        <v>26</v>
      </c>
      <c r="I50" s="12" t="s">
        <v>27</v>
      </c>
      <c r="J50" s="12" t="s">
        <v>28</v>
      </c>
      <c r="K50" s="12" t="s">
        <v>29</v>
      </c>
      <c r="L50" s="12" t="s">
        <v>2</v>
      </c>
      <c r="M50" s="12" t="s">
        <v>2</v>
      </c>
      <c r="N50" s="12" t="s">
        <v>102</v>
      </c>
      <c r="O50" s="12" t="s">
        <v>102</v>
      </c>
      <c r="P50" s="12" t="s">
        <v>101</v>
      </c>
      <c r="Q50" s="12" t="s">
        <v>118</v>
      </c>
      <c r="R50" s="12" t="s">
        <v>146</v>
      </c>
      <c r="S50" s="18">
        <f>_xlfn.XLOOKUP(R50,'Price Assumptions'!E:E,'Price Assumptions'!G:G)</f>
        <v>2.99</v>
      </c>
      <c r="T50" s="18">
        <f t="shared" si="0"/>
        <v>2994393.7533436026</v>
      </c>
      <c r="U50" s="12" t="s">
        <v>30</v>
      </c>
      <c r="V50" s="12" t="s">
        <v>9</v>
      </c>
      <c r="W50" s="19">
        <v>1001469.4827236128</v>
      </c>
    </row>
    <row r="51" spans="3:23" x14ac:dyDescent="0.3">
      <c r="C51" s="12">
        <v>2027</v>
      </c>
      <c r="D51" s="12" t="s">
        <v>51</v>
      </c>
      <c r="E51" s="12" t="s">
        <v>52</v>
      </c>
      <c r="F51" s="12" t="s">
        <v>33</v>
      </c>
      <c r="G51" s="12" t="s">
        <v>34</v>
      </c>
      <c r="H51" s="12" t="s">
        <v>26</v>
      </c>
      <c r="I51" s="12" t="s">
        <v>27</v>
      </c>
      <c r="J51" s="12" t="s">
        <v>28</v>
      </c>
      <c r="K51" s="12" t="s">
        <v>29</v>
      </c>
      <c r="L51" s="12" t="s">
        <v>2</v>
      </c>
      <c r="M51" s="12" t="s">
        <v>2</v>
      </c>
      <c r="N51" s="12" t="s">
        <v>103</v>
      </c>
      <c r="O51" s="12" t="s">
        <v>103</v>
      </c>
      <c r="P51" s="12" t="s">
        <v>101</v>
      </c>
      <c r="Q51" s="12" t="s">
        <v>118</v>
      </c>
      <c r="R51" s="12" t="s">
        <v>146</v>
      </c>
      <c r="S51" s="18">
        <f>_xlfn.XLOOKUP(R51,'Price Assumptions'!E:E,'Price Assumptions'!G:G)</f>
        <v>2.99</v>
      </c>
      <c r="T51" s="18">
        <f t="shared" si="0"/>
        <v>25405804.399031777</v>
      </c>
      <c r="U51" s="12" t="s">
        <v>30</v>
      </c>
      <c r="V51" s="12" t="s">
        <v>9</v>
      </c>
      <c r="W51" s="19">
        <v>8496924.5481711626</v>
      </c>
    </row>
    <row r="52" spans="3:23" x14ac:dyDescent="0.3">
      <c r="C52" s="12">
        <v>2027</v>
      </c>
      <c r="D52" s="12" t="s">
        <v>55</v>
      </c>
      <c r="E52" s="12" t="s">
        <v>56</v>
      </c>
      <c r="F52" s="12" t="s">
        <v>33</v>
      </c>
      <c r="G52" s="12" t="s">
        <v>34</v>
      </c>
      <c r="H52" s="12" t="s">
        <v>26</v>
      </c>
      <c r="I52" s="12" t="s">
        <v>27</v>
      </c>
      <c r="J52" s="12" t="s">
        <v>28</v>
      </c>
      <c r="K52" s="12" t="s">
        <v>29</v>
      </c>
      <c r="L52" s="12" t="s">
        <v>2</v>
      </c>
      <c r="M52" s="12" t="s">
        <v>2</v>
      </c>
      <c r="N52" s="12" t="s">
        <v>107</v>
      </c>
      <c r="O52" s="12" t="s">
        <v>107</v>
      </c>
      <c r="P52" s="12" t="s">
        <v>108</v>
      </c>
      <c r="Q52" s="12" t="s">
        <v>118</v>
      </c>
      <c r="R52" s="12" t="s">
        <v>146</v>
      </c>
      <c r="S52" s="18">
        <f>_xlfn.XLOOKUP(R52,'Price Assumptions'!E:E,'Price Assumptions'!G:G)</f>
        <v>2.99</v>
      </c>
      <c r="T52" s="18">
        <f t="shared" si="0"/>
        <v>103196.6208670339</v>
      </c>
      <c r="U52" s="12" t="s">
        <v>30</v>
      </c>
      <c r="V52" s="12" t="s">
        <v>9</v>
      </c>
      <c r="W52" s="19">
        <v>34513.920022419363</v>
      </c>
    </row>
    <row r="53" spans="3:23" x14ac:dyDescent="0.3">
      <c r="C53" s="12">
        <v>2027</v>
      </c>
      <c r="D53" s="12" t="s">
        <v>65</v>
      </c>
      <c r="E53" s="12" t="s">
        <v>66</v>
      </c>
      <c r="F53" s="12" t="s">
        <v>33</v>
      </c>
      <c r="G53" s="12" t="s">
        <v>34</v>
      </c>
      <c r="H53" s="12" t="s">
        <v>26</v>
      </c>
      <c r="I53" s="12" t="s">
        <v>27</v>
      </c>
      <c r="J53" s="12" t="s">
        <v>28</v>
      </c>
      <c r="K53" s="12" t="s">
        <v>29</v>
      </c>
      <c r="L53" s="12" t="s">
        <v>2</v>
      </c>
      <c r="M53" s="12" t="s">
        <v>2</v>
      </c>
      <c r="N53" s="12" t="s">
        <v>104</v>
      </c>
      <c r="O53" s="12" t="s">
        <v>104</v>
      </c>
      <c r="P53" s="12" t="s">
        <v>100</v>
      </c>
      <c r="Q53" s="12" t="s">
        <v>100</v>
      </c>
      <c r="R53" s="12" t="s">
        <v>145</v>
      </c>
      <c r="S53" s="18">
        <f>_xlfn.XLOOKUP(R53,'Price Assumptions'!E:E,'Price Assumptions'!G:G)</f>
        <v>10.974</v>
      </c>
      <c r="T53" s="18">
        <f t="shared" si="0"/>
        <v>4938055.2496303506</v>
      </c>
      <c r="U53" s="12" t="s">
        <v>30</v>
      </c>
      <c r="V53" s="12" t="s">
        <v>9</v>
      </c>
      <c r="W53" s="19">
        <v>449977.69725080649</v>
      </c>
    </row>
    <row r="54" spans="3:23" x14ac:dyDescent="0.3">
      <c r="C54" s="12">
        <v>2027</v>
      </c>
      <c r="D54" s="12" t="s">
        <v>67</v>
      </c>
      <c r="E54" s="12" t="s">
        <v>68</v>
      </c>
      <c r="F54" s="12" t="s">
        <v>33</v>
      </c>
      <c r="G54" s="12" t="s">
        <v>34</v>
      </c>
      <c r="H54" s="12" t="s">
        <v>26</v>
      </c>
      <c r="I54" s="12" t="s">
        <v>27</v>
      </c>
      <c r="J54" s="12" t="s">
        <v>28</v>
      </c>
      <c r="K54" s="12" t="s">
        <v>29</v>
      </c>
      <c r="L54" s="12" t="s">
        <v>2</v>
      </c>
      <c r="M54" s="12" t="s">
        <v>2</v>
      </c>
      <c r="N54" s="12" t="s">
        <v>107</v>
      </c>
      <c r="O54" s="12" t="s">
        <v>107</v>
      </c>
      <c r="P54" s="12" t="s">
        <v>108</v>
      </c>
      <c r="Q54" s="12" t="s">
        <v>120</v>
      </c>
      <c r="R54" s="12" t="s">
        <v>147</v>
      </c>
      <c r="S54" s="18">
        <f>_xlfn.XLOOKUP(R54,'Price Assumptions'!E:E,'Price Assumptions'!G:G)</f>
        <v>2.99</v>
      </c>
      <c r="T54" s="18">
        <f t="shared" si="0"/>
        <v>135059.51446083875</v>
      </c>
      <c r="U54" s="12" t="s">
        <v>30</v>
      </c>
      <c r="V54" s="12" t="s">
        <v>9</v>
      </c>
      <c r="W54" s="19">
        <v>45170.406174193558</v>
      </c>
    </row>
    <row r="55" spans="3:23" x14ac:dyDescent="0.3">
      <c r="C55" s="12">
        <v>2027</v>
      </c>
      <c r="D55" s="12" t="s">
        <v>69</v>
      </c>
      <c r="E55" s="12" t="s">
        <v>70</v>
      </c>
      <c r="F55" s="12" t="s">
        <v>33</v>
      </c>
      <c r="G55" s="12" t="s">
        <v>34</v>
      </c>
      <c r="H55" s="12" t="s">
        <v>26</v>
      </c>
      <c r="I55" s="12" t="s">
        <v>27</v>
      </c>
      <c r="J55" s="12" t="s">
        <v>28</v>
      </c>
      <c r="K55" s="12" t="s">
        <v>29</v>
      </c>
      <c r="L55" s="12" t="s">
        <v>2</v>
      </c>
      <c r="M55" s="12" t="s">
        <v>2</v>
      </c>
      <c r="N55" s="12" t="s">
        <v>99</v>
      </c>
      <c r="O55" s="12" t="s">
        <v>99</v>
      </c>
      <c r="P55" s="12" t="s">
        <v>100</v>
      </c>
      <c r="Q55" s="12" t="s">
        <v>100</v>
      </c>
      <c r="R55" s="12" t="s">
        <v>145</v>
      </c>
      <c r="S55" s="18">
        <f>_xlfn.XLOOKUP(R55,'Price Assumptions'!E:E,'Price Assumptions'!G:G)</f>
        <v>10.974</v>
      </c>
      <c r="T55" s="18">
        <f t="shared" si="0"/>
        <v>17249087.812099136</v>
      </c>
      <c r="U55" s="12" t="s">
        <v>30</v>
      </c>
      <c r="V55" s="12" t="s">
        <v>9</v>
      </c>
      <c r="W55" s="19">
        <v>1571814.0889465224</v>
      </c>
    </row>
    <row r="56" spans="3:23" x14ac:dyDescent="0.3">
      <c r="C56" s="12">
        <v>2027</v>
      </c>
      <c r="D56" s="12" t="s">
        <v>71</v>
      </c>
      <c r="E56" s="12" t="s">
        <v>72</v>
      </c>
      <c r="F56" s="12" t="s">
        <v>33</v>
      </c>
      <c r="G56" s="12" t="s">
        <v>34</v>
      </c>
      <c r="H56" s="12" t="s">
        <v>26</v>
      </c>
      <c r="I56" s="12" t="s">
        <v>27</v>
      </c>
      <c r="J56" s="12" t="s">
        <v>28</v>
      </c>
      <c r="K56" s="12" t="s">
        <v>29</v>
      </c>
      <c r="L56" s="12" t="s">
        <v>2</v>
      </c>
      <c r="M56" s="12" t="s">
        <v>2</v>
      </c>
      <c r="N56" s="12" t="s">
        <v>107</v>
      </c>
      <c r="O56" s="12" t="s">
        <v>107</v>
      </c>
      <c r="P56" s="12" t="s">
        <v>108</v>
      </c>
      <c r="Q56" s="12" t="s">
        <v>118</v>
      </c>
      <c r="R56" s="12" t="s">
        <v>146</v>
      </c>
      <c r="S56" s="18">
        <f>_xlfn.XLOOKUP(R56,'Price Assumptions'!E:E,'Price Assumptions'!G:G)</f>
        <v>2.99</v>
      </c>
      <c r="T56" s="18">
        <f t="shared" si="0"/>
        <v>4155623.5989869544</v>
      </c>
      <c r="U56" s="12" t="s">
        <v>30</v>
      </c>
      <c r="V56" s="12" t="s">
        <v>9</v>
      </c>
      <c r="W56" s="19">
        <v>1389840.6685575098</v>
      </c>
    </row>
    <row r="57" spans="3:23" x14ac:dyDescent="0.3">
      <c r="C57" s="12">
        <v>2027</v>
      </c>
      <c r="D57" s="12" t="s">
        <v>75</v>
      </c>
      <c r="E57" s="12" t="s">
        <v>76</v>
      </c>
      <c r="F57" s="12" t="s">
        <v>33</v>
      </c>
      <c r="G57" s="12" t="s">
        <v>34</v>
      </c>
      <c r="H57" s="12" t="s">
        <v>26</v>
      </c>
      <c r="I57" s="12" t="s">
        <v>27</v>
      </c>
      <c r="J57" s="12" t="s">
        <v>28</v>
      </c>
      <c r="K57" s="12" t="s">
        <v>29</v>
      </c>
      <c r="L57" s="12" t="s">
        <v>2</v>
      </c>
      <c r="M57" s="12" t="s">
        <v>2</v>
      </c>
      <c r="N57" s="12" t="s">
        <v>105</v>
      </c>
      <c r="O57" s="12" t="s">
        <v>105</v>
      </c>
      <c r="P57" s="12" t="s">
        <v>101</v>
      </c>
      <c r="Q57" s="12" t="s">
        <v>118</v>
      </c>
      <c r="R57" s="12" t="s">
        <v>146</v>
      </c>
      <c r="S57" s="18">
        <f>_xlfn.XLOOKUP(R57,'Price Assumptions'!E:E,'Price Assumptions'!G:G)</f>
        <v>2.99</v>
      </c>
      <c r="T57" s="18">
        <f t="shared" si="0"/>
        <v>6968536.4600286605</v>
      </c>
      <c r="U57" s="12" t="s">
        <v>30</v>
      </c>
      <c r="V57" s="12" t="s">
        <v>9</v>
      </c>
      <c r="W57" s="19">
        <v>2330614.2006784817</v>
      </c>
    </row>
    <row r="58" spans="3:23" x14ac:dyDescent="0.3">
      <c r="C58" s="12">
        <v>2027</v>
      </c>
      <c r="D58" s="12" t="s">
        <v>77</v>
      </c>
      <c r="E58" s="12" t="s">
        <v>78</v>
      </c>
      <c r="F58" s="12" t="s">
        <v>33</v>
      </c>
      <c r="G58" s="12" t="s">
        <v>34</v>
      </c>
      <c r="H58" s="12" t="s">
        <v>26</v>
      </c>
      <c r="I58" s="12" t="s">
        <v>27</v>
      </c>
      <c r="J58" s="12" t="s">
        <v>28</v>
      </c>
      <c r="K58" s="12" t="s">
        <v>29</v>
      </c>
      <c r="L58" s="12" t="s">
        <v>2</v>
      </c>
      <c r="M58" s="12" t="s">
        <v>2</v>
      </c>
      <c r="N58" s="12" t="s">
        <v>105</v>
      </c>
      <c r="O58" s="12" t="s">
        <v>105</v>
      </c>
      <c r="P58" s="12" t="s">
        <v>100</v>
      </c>
      <c r="Q58" s="12" t="s">
        <v>100</v>
      </c>
      <c r="R58" s="12" t="s">
        <v>145</v>
      </c>
      <c r="S58" s="18">
        <f>_xlfn.XLOOKUP(R58,'Price Assumptions'!E:E,'Price Assumptions'!G:G)</f>
        <v>10.974</v>
      </c>
      <c r="T58" s="18">
        <f t="shared" si="0"/>
        <v>20301125.949840792</v>
      </c>
      <c r="U58" s="12" t="s">
        <v>30</v>
      </c>
      <c r="V58" s="12" t="s">
        <v>9</v>
      </c>
      <c r="W58" s="19">
        <v>1849929.4650848177</v>
      </c>
    </row>
    <row r="59" spans="3:23" x14ac:dyDescent="0.3">
      <c r="C59" s="12">
        <v>2027</v>
      </c>
      <c r="D59" s="12" t="s">
        <v>81</v>
      </c>
      <c r="E59" s="12" t="s">
        <v>82</v>
      </c>
      <c r="F59" s="12" t="s">
        <v>33</v>
      </c>
      <c r="G59" s="12" t="s">
        <v>34</v>
      </c>
      <c r="H59" s="12" t="s">
        <v>26</v>
      </c>
      <c r="I59" s="12" t="s">
        <v>27</v>
      </c>
      <c r="J59" s="12" t="s">
        <v>28</v>
      </c>
      <c r="K59" s="12" t="s">
        <v>29</v>
      </c>
      <c r="L59" s="12" t="s">
        <v>2</v>
      </c>
      <c r="M59" s="12" t="s">
        <v>2</v>
      </c>
      <c r="N59" s="12" t="s">
        <v>106</v>
      </c>
      <c r="O59" s="12" t="s">
        <v>106</v>
      </c>
      <c r="P59" s="12" t="s">
        <v>100</v>
      </c>
      <c r="Q59" s="12" t="s">
        <v>100</v>
      </c>
      <c r="R59" s="12" t="s">
        <v>145</v>
      </c>
      <c r="S59" s="18">
        <f>_xlfn.XLOOKUP(R59,'Price Assumptions'!E:E,'Price Assumptions'!G:G)</f>
        <v>10.974</v>
      </c>
      <c r="T59" s="18">
        <f t="shared" si="0"/>
        <v>7722466.7209653603</v>
      </c>
      <c r="U59" s="12" t="s">
        <v>30</v>
      </c>
      <c r="V59" s="12" t="s">
        <v>9</v>
      </c>
      <c r="W59" s="19">
        <v>703705.73363999999</v>
      </c>
    </row>
    <row r="60" spans="3:23" x14ac:dyDescent="0.3">
      <c r="C60" s="12">
        <v>2027</v>
      </c>
      <c r="D60" s="12" t="s">
        <v>97</v>
      </c>
      <c r="E60" s="12" t="s">
        <v>98</v>
      </c>
      <c r="F60" s="12" t="s">
        <v>33</v>
      </c>
      <c r="G60" s="12" t="s">
        <v>34</v>
      </c>
      <c r="H60" s="12" t="s">
        <v>26</v>
      </c>
      <c r="I60" s="12" t="s">
        <v>27</v>
      </c>
      <c r="J60" s="12" t="s">
        <v>28</v>
      </c>
      <c r="K60" s="12" t="s">
        <v>29</v>
      </c>
      <c r="L60" s="12" t="s">
        <v>2</v>
      </c>
      <c r="M60" s="12" t="s">
        <v>2</v>
      </c>
      <c r="N60" s="12" t="s">
        <v>105</v>
      </c>
      <c r="O60" s="12" t="s">
        <v>105</v>
      </c>
      <c r="P60" s="12" t="s">
        <v>101</v>
      </c>
      <c r="Q60" s="12" t="s">
        <v>118</v>
      </c>
      <c r="R60" s="12" t="s">
        <v>146</v>
      </c>
      <c r="S60" s="18">
        <f>_xlfn.XLOOKUP(R60,'Price Assumptions'!E:E,'Price Assumptions'!G:G)</f>
        <v>2.99</v>
      </c>
      <c r="T60" s="18">
        <f t="shared" si="0"/>
        <v>2443162.4979728432</v>
      </c>
      <c r="U60" s="12" t="s">
        <v>30</v>
      </c>
      <c r="V60" s="12" t="s">
        <v>9</v>
      </c>
      <c r="W60" s="19">
        <v>817111.20333539904</v>
      </c>
    </row>
    <row r="61" spans="3:23" x14ac:dyDescent="0.3">
      <c r="C61" s="12">
        <v>2027</v>
      </c>
      <c r="D61" s="12" t="s">
        <v>85</v>
      </c>
      <c r="E61" s="12" t="s">
        <v>86</v>
      </c>
      <c r="F61" s="12" t="s">
        <v>25</v>
      </c>
      <c r="G61" s="12" t="s">
        <v>87</v>
      </c>
      <c r="H61" s="12" t="s">
        <v>26</v>
      </c>
      <c r="I61" s="12" t="s">
        <v>27</v>
      </c>
      <c r="J61" s="12" t="s">
        <v>28</v>
      </c>
      <c r="K61" s="12" t="s">
        <v>29</v>
      </c>
      <c r="L61" s="12" t="s">
        <v>2</v>
      </c>
      <c r="M61" s="12" t="s">
        <v>2</v>
      </c>
      <c r="N61" s="12" t="s">
        <v>103</v>
      </c>
      <c r="O61" s="12" t="s">
        <v>103</v>
      </c>
      <c r="P61" s="12" t="s">
        <v>101</v>
      </c>
      <c r="Q61" s="12" t="s">
        <v>118</v>
      </c>
      <c r="R61" s="12" t="s">
        <v>146</v>
      </c>
      <c r="S61" s="18">
        <f>_xlfn.XLOOKUP(R61,'Price Assumptions'!E:E,'Price Assumptions'!G:G)</f>
        <v>2.99</v>
      </c>
      <c r="T61" s="18">
        <f t="shared" si="0"/>
        <v>5919758.066606123</v>
      </c>
      <c r="U61" s="12" t="s">
        <v>30</v>
      </c>
      <c r="V61" s="12" t="s">
        <v>9</v>
      </c>
      <c r="W61" s="19">
        <v>1979852.1961893388</v>
      </c>
    </row>
    <row r="62" spans="3:23" x14ac:dyDescent="0.3">
      <c r="C62" s="12">
        <v>2028</v>
      </c>
      <c r="D62" s="12" t="s">
        <v>39</v>
      </c>
      <c r="E62" s="12" t="s">
        <v>40</v>
      </c>
      <c r="F62" s="12" t="s">
        <v>33</v>
      </c>
      <c r="G62" s="12" t="s">
        <v>34</v>
      </c>
      <c r="H62" s="12" t="s">
        <v>26</v>
      </c>
      <c r="I62" s="12" t="s">
        <v>27</v>
      </c>
      <c r="J62" s="12" t="s">
        <v>28</v>
      </c>
      <c r="K62" s="12" t="s">
        <v>29</v>
      </c>
      <c r="L62" s="12" t="s">
        <v>2</v>
      </c>
      <c r="M62" s="12" t="s">
        <v>2</v>
      </c>
      <c r="N62" s="12" t="s">
        <v>107</v>
      </c>
      <c r="O62" s="12" t="s">
        <v>107</v>
      </c>
      <c r="P62" s="12" t="s">
        <v>108</v>
      </c>
      <c r="Q62" s="12" t="s">
        <v>100</v>
      </c>
      <c r="R62" s="12" t="s">
        <v>148</v>
      </c>
      <c r="S62" s="18">
        <f>_xlfn.XLOOKUP(R62,'Price Assumptions'!E:E,'Price Assumptions'!G:G)</f>
        <v>5</v>
      </c>
      <c r="T62" s="18">
        <f t="shared" si="0"/>
        <v>3199570.5211625802</v>
      </c>
      <c r="U62" s="12" t="s">
        <v>30</v>
      </c>
      <c r="V62" s="12" t="s">
        <v>9</v>
      </c>
      <c r="W62" s="19">
        <v>639914.10423251602</v>
      </c>
    </row>
    <row r="63" spans="3:23" x14ac:dyDescent="0.3">
      <c r="C63" s="12">
        <v>2028</v>
      </c>
      <c r="D63" s="12" t="s">
        <v>43</v>
      </c>
      <c r="E63" s="12" t="s">
        <v>44</v>
      </c>
      <c r="F63" s="12" t="s">
        <v>33</v>
      </c>
      <c r="G63" s="12" t="s">
        <v>34</v>
      </c>
      <c r="H63" s="12" t="s">
        <v>26</v>
      </c>
      <c r="I63" s="12" t="s">
        <v>27</v>
      </c>
      <c r="J63" s="12" t="s">
        <v>28</v>
      </c>
      <c r="K63" s="12" t="s">
        <v>29</v>
      </c>
      <c r="L63" s="12" t="s">
        <v>2</v>
      </c>
      <c r="M63" s="12" t="s">
        <v>2</v>
      </c>
      <c r="N63" s="12" t="s">
        <v>99</v>
      </c>
      <c r="O63" s="12" t="s">
        <v>99</v>
      </c>
      <c r="P63" s="12" t="s">
        <v>101</v>
      </c>
      <c r="Q63" s="12" t="s">
        <v>118</v>
      </c>
      <c r="R63" s="12" t="s">
        <v>149</v>
      </c>
      <c r="S63" s="18">
        <f>_xlfn.XLOOKUP(R63,'Price Assumptions'!E:E,'Price Assumptions'!G:G)</f>
        <v>2.99</v>
      </c>
      <c r="T63" s="18">
        <f t="shared" si="0"/>
        <v>1357042.717473171</v>
      </c>
      <c r="U63" s="12" t="s">
        <v>30</v>
      </c>
      <c r="V63" s="12" t="s">
        <v>9</v>
      </c>
      <c r="W63" s="19">
        <v>453860.44062647852</v>
      </c>
    </row>
    <row r="64" spans="3:23" x14ac:dyDescent="0.3">
      <c r="C64" s="12">
        <v>2028</v>
      </c>
      <c r="D64" s="12" t="s">
        <v>45</v>
      </c>
      <c r="E64" s="12" t="s">
        <v>46</v>
      </c>
      <c r="F64" s="12" t="s">
        <v>33</v>
      </c>
      <c r="G64" s="12" t="s">
        <v>34</v>
      </c>
      <c r="H64" s="12" t="s">
        <v>26</v>
      </c>
      <c r="I64" s="12" t="s">
        <v>27</v>
      </c>
      <c r="J64" s="12" t="s">
        <v>28</v>
      </c>
      <c r="K64" s="12" t="s">
        <v>29</v>
      </c>
      <c r="L64" s="12" t="s">
        <v>2</v>
      </c>
      <c r="M64" s="12" t="s">
        <v>2</v>
      </c>
      <c r="N64" s="12" t="s">
        <v>102</v>
      </c>
      <c r="O64" s="12" t="s">
        <v>102</v>
      </c>
      <c r="P64" s="12" t="s">
        <v>101</v>
      </c>
      <c r="Q64" s="12" t="s">
        <v>118</v>
      </c>
      <c r="R64" s="12" t="s">
        <v>149</v>
      </c>
      <c r="S64" s="18">
        <f>_xlfn.XLOOKUP(R64,'Price Assumptions'!E:E,'Price Assumptions'!G:G)</f>
        <v>2.99</v>
      </c>
      <c r="T64" s="18">
        <f t="shared" si="0"/>
        <v>2983490.551596106</v>
      </c>
      <c r="U64" s="12" t="s">
        <v>30</v>
      </c>
      <c r="V64" s="12" t="s">
        <v>9</v>
      </c>
      <c r="W64" s="19">
        <v>997822.92695521936</v>
      </c>
    </row>
    <row r="65" spans="3:23" x14ac:dyDescent="0.3">
      <c r="C65" s="12">
        <v>2028</v>
      </c>
      <c r="D65" s="12" t="s">
        <v>51</v>
      </c>
      <c r="E65" s="12" t="s">
        <v>52</v>
      </c>
      <c r="F65" s="12" t="s">
        <v>33</v>
      </c>
      <c r="G65" s="12" t="s">
        <v>34</v>
      </c>
      <c r="H65" s="12" t="s">
        <v>26</v>
      </c>
      <c r="I65" s="12" t="s">
        <v>27</v>
      </c>
      <c r="J65" s="12" t="s">
        <v>28</v>
      </c>
      <c r="K65" s="12" t="s">
        <v>29</v>
      </c>
      <c r="L65" s="12" t="s">
        <v>2</v>
      </c>
      <c r="M65" s="12" t="s">
        <v>2</v>
      </c>
      <c r="N65" s="12" t="s">
        <v>103</v>
      </c>
      <c r="O65" s="12" t="s">
        <v>103</v>
      </c>
      <c r="P65" s="12" t="s">
        <v>101</v>
      </c>
      <c r="Q65" s="12" t="s">
        <v>118</v>
      </c>
      <c r="R65" s="12" t="s">
        <v>149</v>
      </c>
      <c r="S65" s="18">
        <f>_xlfn.XLOOKUP(R65,'Price Assumptions'!E:E,'Price Assumptions'!G:G)</f>
        <v>2.99</v>
      </c>
      <c r="T65" s="18">
        <f t="shared" si="0"/>
        <v>26819896.605634682</v>
      </c>
      <c r="U65" s="12" t="s">
        <v>30</v>
      </c>
      <c r="V65" s="12" t="s">
        <v>9</v>
      </c>
      <c r="W65" s="19">
        <v>8969865.0854965486</v>
      </c>
    </row>
    <row r="66" spans="3:23" x14ac:dyDescent="0.3">
      <c r="C66" s="12">
        <v>2028</v>
      </c>
      <c r="D66" s="12" t="s">
        <v>55</v>
      </c>
      <c r="E66" s="12" t="s">
        <v>56</v>
      </c>
      <c r="F66" s="12" t="s">
        <v>33</v>
      </c>
      <c r="G66" s="12" t="s">
        <v>34</v>
      </c>
      <c r="H66" s="12" t="s">
        <v>26</v>
      </c>
      <c r="I66" s="12" t="s">
        <v>27</v>
      </c>
      <c r="J66" s="12" t="s">
        <v>28</v>
      </c>
      <c r="K66" s="12" t="s">
        <v>29</v>
      </c>
      <c r="L66" s="12" t="s">
        <v>2</v>
      </c>
      <c r="M66" s="12" t="s">
        <v>2</v>
      </c>
      <c r="N66" s="12" t="s">
        <v>107</v>
      </c>
      <c r="O66" s="12" t="s">
        <v>107</v>
      </c>
      <c r="P66" s="12" t="s">
        <v>108</v>
      </c>
      <c r="Q66" s="12" t="s">
        <v>118</v>
      </c>
      <c r="R66" s="12" t="s">
        <v>149</v>
      </c>
      <c r="S66" s="18">
        <f>_xlfn.XLOOKUP(R66,'Price Assumptions'!E:E,'Price Assumptions'!G:G)</f>
        <v>2.99</v>
      </c>
      <c r="T66" s="18">
        <f t="shared" si="0"/>
        <v>106200.62539254302</v>
      </c>
      <c r="U66" s="12" t="s">
        <v>30</v>
      </c>
      <c r="V66" s="12" t="s">
        <v>9</v>
      </c>
      <c r="W66" s="19">
        <v>35518.603810215056</v>
      </c>
    </row>
    <row r="67" spans="3:23" x14ac:dyDescent="0.3">
      <c r="C67" s="12">
        <v>2028</v>
      </c>
      <c r="D67" s="12" t="s">
        <v>65</v>
      </c>
      <c r="E67" s="12" t="s">
        <v>66</v>
      </c>
      <c r="F67" s="12" t="s">
        <v>33</v>
      </c>
      <c r="G67" s="12" t="s">
        <v>34</v>
      </c>
      <c r="H67" s="12" t="s">
        <v>26</v>
      </c>
      <c r="I67" s="12" t="s">
        <v>27</v>
      </c>
      <c r="J67" s="12" t="s">
        <v>28</v>
      </c>
      <c r="K67" s="12" t="s">
        <v>29</v>
      </c>
      <c r="L67" s="12" t="s">
        <v>2</v>
      </c>
      <c r="M67" s="12" t="s">
        <v>2</v>
      </c>
      <c r="N67" s="12" t="s">
        <v>104</v>
      </c>
      <c r="O67" s="12" t="s">
        <v>104</v>
      </c>
      <c r="P67" s="12" t="s">
        <v>100</v>
      </c>
      <c r="Q67" s="12" t="s">
        <v>100</v>
      </c>
      <c r="R67" s="12" t="s">
        <v>148</v>
      </c>
      <c r="S67" s="18">
        <f>_xlfn.XLOOKUP(R67,'Price Assumptions'!E:E,'Price Assumptions'!G:G)</f>
        <v>5</v>
      </c>
      <c r="T67" s="18">
        <f t="shared" si="0"/>
        <v>2268017.6689528227</v>
      </c>
      <c r="U67" s="12" t="s">
        <v>30</v>
      </c>
      <c r="V67" s="12" t="s">
        <v>9</v>
      </c>
      <c r="W67" s="19">
        <v>453603.53379056457</v>
      </c>
    </row>
    <row r="68" spans="3:23" x14ac:dyDescent="0.3">
      <c r="C68" s="12">
        <v>2028</v>
      </c>
      <c r="D68" s="12" t="s">
        <v>67</v>
      </c>
      <c r="E68" s="12" t="s">
        <v>68</v>
      </c>
      <c r="F68" s="12" t="s">
        <v>33</v>
      </c>
      <c r="G68" s="12" t="s">
        <v>34</v>
      </c>
      <c r="H68" s="12" t="s">
        <v>26</v>
      </c>
      <c r="I68" s="12" t="s">
        <v>27</v>
      </c>
      <c r="J68" s="12" t="s">
        <v>28</v>
      </c>
      <c r="K68" s="12" t="s">
        <v>29</v>
      </c>
      <c r="L68" s="12" t="s">
        <v>2</v>
      </c>
      <c r="M68" s="12" t="s">
        <v>2</v>
      </c>
      <c r="N68" s="12" t="s">
        <v>107</v>
      </c>
      <c r="O68" s="12" t="s">
        <v>107</v>
      </c>
      <c r="P68" s="12" t="s">
        <v>108</v>
      </c>
      <c r="Q68" s="12" t="s">
        <v>120</v>
      </c>
      <c r="R68" s="12" t="s">
        <v>150</v>
      </c>
      <c r="S68" s="18">
        <f>_xlfn.XLOOKUP(R68,'Price Assumptions'!E:E,'Price Assumptions'!G:G)</f>
        <v>2.99</v>
      </c>
      <c r="T68" s="18">
        <f t="shared" si="0"/>
        <v>407448.03301875491</v>
      </c>
      <c r="U68" s="12" t="s">
        <v>30</v>
      </c>
      <c r="V68" s="12" t="s">
        <v>9</v>
      </c>
      <c r="W68" s="19">
        <v>136270.24515677421</v>
      </c>
    </row>
    <row r="69" spans="3:23" x14ac:dyDescent="0.3">
      <c r="C69" s="12">
        <v>2028</v>
      </c>
      <c r="D69" s="12" t="s">
        <v>69</v>
      </c>
      <c r="E69" s="12" t="s">
        <v>70</v>
      </c>
      <c r="F69" s="12" t="s">
        <v>33</v>
      </c>
      <c r="G69" s="12" t="s">
        <v>34</v>
      </c>
      <c r="H69" s="12" t="s">
        <v>26</v>
      </c>
      <c r="I69" s="12" t="s">
        <v>27</v>
      </c>
      <c r="J69" s="12" t="s">
        <v>28</v>
      </c>
      <c r="K69" s="12" t="s">
        <v>29</v>
      </c>
      <c r="L69" s="12" t="s">
        <v>2</v>
      </c>
      <c r="M69" s="12" t="s">
        <v>2</v>
      </c>
      <c r="N69" s="12" t="s">
        <v>99</v>
      </c>
      <c r="O69" s="12" t="s">
        <v>99</v>
      </c>
      <c r="P69" s="12" t="s">
        <v>100</v>
      </c>
      <c r="Q69" s="12" t="s">
        <v>100</v>
      </c>
      <c r="R69" s="12" t="s">
        <v>148</v>
      </c>
      <c r="S69" s="18">
        <f>_xlfn.XLOOKUP(R69,'Price Assumptions'!E:E,'Price Assumptions'!G:G)</f>
        <v>5</v>
      </c>
      <c r="T69" s="18">
        <f t="shared" si="0"/>
        <v>7843848.7162531409</v>
      </c>
      <c r="U69" s="12" t="s">
        <v>30</v>
      </c>
      <c r="V69" s="12" t="s">
        <v>9</v>
      </c>
      <c r="W69" s="19">
        <v>1568769.7432506282</v>
      </c>
    </row>
    <row r="70" spans="3:23" x14ac:dyDescent="0.3">
      <c r="C70" s="12">
        <v>2028</v>
      </c>
      <c r="D70" s="12" t="s">
        <v>71</v>
      </c>
      <c r="E70" s="12" t="s">
        <v>72</v>
      </c>
      <c r="F70" s="12" t="s">
        <v>33</v>
      </c>
      <c r="G70" s="12" t="s">
        <v>34</v>
      </c>
      <c r="H70" s="12" t="s">
        <v>26</v>
      </c>
      <c r="I70" s="12" t="s">
        <v>27</v>
      </c>
      <c r="J70" s="12" t="s">
        <v>28</v>
      </c>
      <c r="K70" s="12" t="s">
        <v>29</v>
      </c>
      <c r="L70" s="12" t="s">
        <v>2</v>
      </c>
      <c r="M70" s="12" t="s">
        <v>2</v>
      </c>
      <c r="N70" s="12" t="s">
        <v>107</v>
      </c>
      <c r="O70" s="12" t="s">
        <v>107</v>
      </c>
      <c r="P70" s="12" t="s">
        <v>108</v>
      </c>
      <c r="Q70" s="12" t="s">
        <v>118</v>
      </c>
      <c r="R70" s="12" t="s">
        <v>149</v>
      </c>
      <c r="S70" s="18">
        <f>_xlfn.XLOOKUP(R70,'Price Assumptions'!E:E,'Price Assumptions'!G:G)</f>
        <v>2.99</v>
      </c>
      <c r="T70" s="18">
        <f t="shared" ref="T70:T133" si="1">S70*W70</f>
        <v>4168252.6252022968</v>
      </c>
      <c r="U70" s="12" t="s">
        <v>30</v>
      </c>
      <c r="V70" s="12" t="s">
        <v>9</v>
      </c>
      <c r="W70" s="19">
        <v>1394064.4231445808</v>
      </c>
    </row>
    <row r="71" spans="3:23" x14ac:dyDescent="0.3">
      <c r="C71" s="12">
        <v>2028</v>
      </c>
      <c r="D71" s="12" t="s">
        <v>75</v>
      </c>
      <c r="E71" s="12" t="s">
        <v>76</v>
      </c>
      <c r="F71" s="12" t="s">
        <v>33</v>
      </c>
      <c r="G71" s="12" t="s">
        <v>34</v>
      </c>
      <c r="H71" s="12" t="s">
        <v>26</v>
      </c>
      <c r="I71" s="12" t="s">
        <v>27</v>
      </c>
      <c r="J71" s="12" t="s">
        <v>28</v>
      </c>
      <c r="K71" s="12" t="s">
        <v>29</v>
      </c>
      <c r="L71" s="12" t="s">
        <v>2</v>
      </c>
      <c r="M71" s="12" t="s">
        <v>2</v>
      </c>
      <c r="N71" s="12" t="s">
        <v>105</v>
      </c>
      <c r="O71" s="12" t="s">
        <v>105</v>
      </c>
      <c r="P71" s="12" t="s">
        <v>101</v>
      </c>
      <c r="Q71" s="12" t="s">
        <v>118</v>
      </c>
      <c r="R71" s="12" t="s">
        <v>149</v>
      </c>
      <c r="S71" s="18">
        <f>_xlfn.XLOOKUP(R71,'Price Assumptions'!E:E,'Price Assumptions'!G:G)</f>
        <v>2.99</v>
      </c>
      <c r="T71" s="18">
        <f t="shared" si="1"/>
        <v>7038823.8370158132</v>
      </c>
      <c r="U71" s="12" t="s">
        <v>30</v>
      </c>
      <c r="V71" s="12" t="s">
        <v>9</v>
      </c>
      <c r="W71" s="19">
        <v>2354121.6846206733</v>
      </c>
    </row>
    <row r="72" spans="3:23" x14ac:dyDescent="0.3">
      <c r="C72" s="12">
        <v>2028</v>
      </c>
      <c r="D72" s="12" t="s">
        <v>77</v>
      </c>
      <c r="E72" s="12" t="s">
        <v>78</v>
      </c>
      <c r="F72" s="12" t="s">
        <v>33</v>
      </c>
      <c r="G72" s="12" t="s">
        <v>34</v>
      </c>
      <c r="H72" s="12" t="s">
        <v>26</v>
      </c>
      <c r="I72" s="12" t="s">
        <v>27</v>
      </c>
      <c r="J72" s="12" t="s">
        <v>28</v>
      </c>
      <c r="K72" s="12" t="s">
        <v>29</v>
      </c>
      <c r="L72" s="12" t="s">
        <v>2</v>
      </c>
      <c r="M72" s="12" t="s">
        <v>2</v>
      </c>
      <c r="N72" s="12" t="s">
        <v>105</v>
      </c>
      <c r="O72" s="12" t="s">
        <v>105</v>
      </c>
      <c r="P72" s="12" t="s">
        <v>100</v>
      </c>
      <c r="Q72" s="12" t="s">
        <v>100</v>
      </c>
      <c r="R72" s="12" t="s">
        <v>148</v>
      </c>
      <c r="S72" s="18">
        <f>_xlfn.XLOOKUP(R72,'Price Assumptions'!E:E,'Price Assumptions'!G:G)</f>
        <v>5</v>
      </c>
      <c r="T72" s="18">
        <f t="shared" si="1"/>
        <v>9246129.448004581</v>
      </c>
      <c r="U72" s="12" t="s">
        <v>30</v>
      </c>
      <c r="V72" s="12" t="s">
        <v>9</v>
      </c>
      <c r="W72" s="19">
        <v>1849225.8896009163</v>
      </c>
    </row>
    <row r="73" spans="3:23" x14ac:dyDescent="0.3">
      <c r="C73" s="12">
        <v>2028</v>
      </c>
      <c r="D73" s="12" t="s">
        <v>81</v>
      </c>
      <c r="E73" s="12" t="s">
        <v>82</v>
      </c>
      <c r="F73" s="12" t="s">
        <v>33</v>
      </c>
      <c r="G73" s="12" t="s">
        <v>34</v>
      </c>
      <c r="H73" s="12" t="s">
        <v>26</v>
      </c>
      <c r="I73" s="12" t="s">
        <v>27</v>
      </c>
      <c r="J73" s="12" t="s">
        <v>28</v>
      </c>
      <c r="K73" s="12" t="s">
        <v>29</v>
      </c>
      <c r="L73" s="12" t="s">
        <v>2</v>
      </c>
      <c r="M73" s="12" t="s">
        <v>2</v>
      </c>
      <c r="N73" s="12" t="s">
        <v>106</v>
      </c>
      <c r="O73" s="12" t="s">
        <v>106</v>
      </c>
      <c r="P73" s="12" t="s">
        <v>100</v>
      </c>
      <c r="Q73" s="12" t="s">
        <v>100</v>
      </c>
      <c r="R73" s="12" t="s">
        <v>148</v>
      </c>
      <c r="S73" s="18">
        <f>_xlfn.XLOOKUP(R73,'Price Assumptions'!E:E,'Price Assumptions'!G:G)</f>
        <v>5</v>
      </c>
      <c r="T73" s="18">
        <f t="shared" si="1"/>
        <v>3525867.6525625004</v>
      </c>
      <c r="U73" s="12" t="s">
        <v>30</v>
      </c>
      <c r="V73" s="12" t="s">
        <v>9</v>
      </c>
      <c r="W73" s="19">
        <v>705173.53051250009</v>
      </c>
    </row>
    <row r="74" spans="3:23" x14ac:dyDescent="0.3">
      <c r="C74" s="12">
        <v>2028</v>
      </c>
      <c r="D74" s="12" t="s">
        <v>83</v>
      </c>
      <c r="E74" s="12" t="s">
        <v>84</v>
      </c>
      <c r="F74" s="12" t="s">
        <v>25</v>
      </c>
      <c r="G74" s="12" t="s">
        <v>34</v>
      </c>
      <c r="H74" s="12" t="s">
        <v>26</v>
      </c>
      <c r="I74" s="12" t="s">
        <v>27</v>
      </c>
      <c r="J74" s="12" t="s">
        <v>28</v>
      </c>
      <c r="K74" s="12" t="s">
        <v>29</v>
      </c>
      <c r="L74" s="12" t="s">
        <v>2</v>
      </c>
      <c r="M74" s="12" t="s">
        <v>2</v>
      </c>
      <c r="N74" s="12" t="s">
        <v>107</v>
      </c>
      <c r="O74" s="12" t="s">
        <v>107</v>
      </c>
      <c r="P74" s="12" t="s">
        <v>108</v>
      </c>
      <c r="Q74" s="12" t="s">
        <v>120</v>
      </c>
      <c r="R74" s="12" t="s">
        <v>150</v>
      </c>
      <c r="S74" s="18">
        <f>_xlfn.XLOOKUP(R74,'Price Assumptions'!E:E,'Price Assumptions'!G:G)</f>
        <v>2.99</v>
      </c>
      <c r="T74" s="18">
        <f t="shared" si="1"/>
        <v>304666.12943947746</v>
      </c>
      <c r="U74" s="12" t="s">
        <v>30</v>
      </c>
      <c r="V74" s="12" t="s">
        <v>9</v>
      </c>
      <c r="W74" s="19">
        <v>101895.02656838711</v>
      </c>
    </row>
    <row r="75" spans="3:23" x14ac:dyDescent="0.3">
      <c r="C75" s="12">
        <v>2028</v>
      </c>
      <c r="D75" s="12" t="s">
        <v>97</v>
      </c>
      <c r="E75" s="12" t="s">
        <v>98</v>
      </c>
      <c r="F75" s="12" t="s">
        <v>33</v>
      </c>
      <c r="G75" s="12" t="s">
        <v>34</v>
      </c>
      <c r="H75" s="12" t="s">
        <v>26</v>
      </c>
      <c r="I75" s="12" t="s">
        <v>27</v>
      </c>
      <c r="J75" s="12" t="s">
        <v>28</v>
      </c>
      <c r="K75" s="12" t="s">
        <v>29</v>
      </c>
      <c r="L75" s="12" t="s">
        <v>2</v>
      </c>
      <c r="M75" s="12" t="s">
        <v>2</v>
      </c>
      <c r="N75" s="12" t="s">
        <v>105</v>
      </c>
      <c r="O75" s="12" t="s">
        <v>105</v>
      </c>
      <c r="P75" s="12" t="s">
        <v>101</v>
      </c>
      <c r="Q75" s="12" t="s">
        <v>118</v>
      </c>
      <c r="R75" s="12" t="s">
        <v>149</v>
      </c>
      <c r="S75" s="18">
        <f>_xlfn.XLOOKUP(R75,'Price Assumptions'!E:E,'Price Assumptions'!G:G)</f>
        <v>2.99</v>
      </c>
      <c r="T75" s="18">
        <f t="shared" si="1"/>
        <v>2480148.6211047256</v>
      </c>
      <c r="U75" s="12" t="s">
        <v>30</v>
      </c>
      <c r="V75" s="12" t="s">
        <v>9</v>
      </c>
      <c r="W75" s="19">
        <v>829481.14418218238</v>
      </c>
    </row>
    <row r="76" spans="3:23" x14ac:dyDescent="0.3">
      <c r="C76" s="12">
        <v>2028</v>
      </c>
      <c r="D76" s="12" t="s">
        <v>85</v>
      </c>
      <c r="E76" s="12" t="s">
        <v>86</v>
      </c>
      <c r="F76" s="12" t="s">
        <v>25</v>
      </c>
      <c r="G76" s="12" t="s">
        <v>87</v>
      </c>
      <c r="H76" s="12" t="s">
        <v>26</v>
      </c>
      <c r="I76" s="12" t="s">
        <v>27</v>
      </c>
      <c r="J76" s="12" t="s">
        <v>28</v>
      </c>
      <c r="K76" s="12" t="s">
        <v>29</v>
      </c>
      <c r="L76" s="12" t="s">
        <v>2</v>
      </c>
      <c r="M76" s="12" t="s">
        <v>2</v>
      </c>
      <c r="N76" s="12" t="s">
        <v>103</v>
      </c>
      <c r="O76" s="12" t="s">
        <v>103</v>
      </c>
      <c r="P76" s="12" t="s">
        <v>101</v>
      </c>
      <c r="Q76" s="12" t="s">
        <v>118</v>
      </c>
      <c r="R76" s="12" t="s">
        <v>149</v>
      </c>
      <c r="S76" s="18">
        <f>_xlfn.XLOOKUP(R76,'Price Assumptions'!E:E,'Price Assumptions'!G:G)</f>
        <v>2.99</v>
      </c>
      <c r="T76" s="18">
        <f t="shared" si="1"/>
        <v>6114869.2235558359</v>
      </c>
      <c r="U76" s="12" t="s">
        <v>30</v>
      </c>
      <c r="V76" s="12" t="s">
        <v>9</v>
      </c>
      <c r="W76" s="19">
        <v>2045106.7637310487</v>
      </c>
    </row>
    <row r="77" spans="3:23" x14ac:dyDescent="0.3">
      <c r="C77" s="12">
        <v>2029</v>
      </c>
      <c r="D77" s="12" t="s">
        <v>39</v>
      </c>
      <c r="E77" s="12" t="s">
        <v>40</v>
      </c>
      <c r="F77" s="12" t="s">
        <v>33</v>
      </c>
      <c r="G77" s="12" t="s">
        <v>34</v>
      </c>
      <c r="H77" s="12" t="s">
        <v>26</v>
      </c>
      <c r="I77" s="12" t="s">
        <v>27</v>
      </c>
      <c r="J77" s="12" t="s">
        <v>28</v>
      </c>
      <c r="K77" s="12" t="s">
        <v>29</v>
      </c>
      <c r="L77" s="12" t="s">
        <v>2</v>
      </c>
      <c r="M77" s="12" t="s">
        <v>2</v>
      </c>
      <c r="N77" s="12" t="s">
        <v>107</v>
      </c>
      <c r="O77" s="12" t="s">
        <v>107</v>
      </c>
      <c r="P77" s="12" t="s">
        <v>108</v>
      </c>
      <c r="Q77" s="12" t="s">
        <v>100</v>
      </c>
      <c r="R77" s="12" t="s">
        <v>151</v>
      </c>
      <c r="S77" s="18">
        <f>_xlfn.XLOOKUP(R77,'Price Assumptions'!E:E,'Price Assumptions'!G:G)</f>
        <v>5</v>
      </c>
      <c r="T77" s="18">
        <f t="shared" si="1"/>
        <v>3288651.8606222579</v>
      </c>
      <c r="U77" s="12" t="s">
        <v>30</v>
      </c>
      <c r="V77" s="12" t="s">
        <v>9</v>
      </c>
      <c r="W77" s="19">
        <v>657730.37212445156</v>
      </c>
    </row>
    <row r="78" spans="3:23" x14ac:dyDescent="0.3">
      <c r="C78" s="12">
        <v>2029</v>
      </c>
      <c r="D78" s="12" t="s">
        <v>43</v>
      </c>
      <c r="E78" s="12" t="s">
        <v>44</v>
      </c>
      <c r="F78" s="12" t="s">
        <v>33</v>
      </c>
      <c r="G78" s="12" t="s">
        <v>34</v>
      </c>
      <c r="H78" s="12" t="s">
        <v>26</v>
      </c>
      <c r="I78" s="12" t="s">
        <v>27</v>
      </c>
      <c r="J78" s="12" t="s">
        <v>28</v>
      </c>
      <c r="K78" s="12" t="s">
        <v>29</v>
      </c>
      <c r="L78" s="12" t="s">
        <v>2</v>
      </c>
      <c r="M78" s="12" t="s">
        <v>2</v>
      </c>
      <c r="N78" s="12" t="s">
        <v>99</v>
      </c>
      <c r="O78" s="12" t="s">
        <v>99</v>
      </c>
      <c r="P78" s="12" t="s">
        <v>101</v>
      </c>
      <c r="Q78" s="12" t="s">
        <v>118</v>
      </c>
      <c r="R78" s="12" t="s">
        <v>152</v>
      </c>
      <c r="S78" s="18">
        <f>_xlfn.XLOOKUP(R78,'Price Assumptions'!E:E,'Price Assumptions'!G:G)</f>
        <v>2.99</v>
      </c>
      <c r="T78" s="18">
        <f t="shared" si="1"/>
        <v>1456127.0021662</v>
      </c>
      <c r="U78" s="12" t="s">
        <v>30</v>
      </c>
      <c r="V78" s="12" t="s">
        <v>9</v>
      </c>
      <c r="W78" s="19">
        <v>486998.99737999996</v>
      </c>
    </row>
    <row r="79" spans="3:23" x14ac:dyDescent="0.3">
      <c r="C79" s="12">
        <v>2029</v>
      </c>
      <c r="D79" s="12" t="s">
        <v>45</v>
      </c>
      <c r="E79" s="12" t="s">
        <v>46</v>
      </c>
      <c r="F79" s="12" t="s">
        <v>33</v>
      </c>
      <c r="G79" s="12" t="s">
        <v>34</v>
      </c>
      <c r="H79" s="12" t="s">
        <v>26</v>
      </c>
      <c r="I79" s="12" t="s">
        <v>27</v>
      </c>
      <c r="J79" s="12" t="s">
        <v>28</v>
      </c>
      <c r="K79" s="12" t="s">
        <v>29</v>
      </c>
      <c r="L79" s="12" t="s">
        <v>2</v>
      </c>
      <c r="M79" s="12" t="s">
        <v>2</v>
      </c>
      <c r="N79" s="12" t="s">
        <v>102</v>
      </c>
      <c r="O79" s="12" t="s">
        <v>102</v>
      </c>
      <c r="P79" s="12" t="s">
        <v>101</v>
      </c>
      <c r="Q79" s="12" t="s">
        <v>118</v>
      </c>
      <c r="R79" s="12" t="s">
        <v>152</v>
      </c>
      <c r="S79" s="18">
        <f>_xlfn.XLOOKUP(R79,'Price Assumptions'!E:E,'Price Assumptions'!G:G)</f>
        <v>2.99</v>
      </c>
      <c r="T79" s="18">
        <f t="shared" si="1"/>
        <v>3061321.2482049852</v>
      </c>
      <c r="U79" s="12" t="s">
        <v>30</v>
      </c>
      <c r="V79" s="12" t="s">
        <v>9</v>
      </c>
      <c r="W79" s="19">
        <v>1023853.2602692258</v>
      </c>
    </row>
    <row r="80" spans="3:23" x14ac:dyDescent="0.3">
      <c r="C80" s="12">
        <v>2029</v>
      </c>
      <c r="D80" s="12" t="s">
        <v>51</v>
      </c>
      <c r="E80" s="12" t="s">
        <v>52</v>
      </c>
      <c r="F80" s="12" t="s">
        <v>33</v>
      </c>
      <c r="G80" s="12" t="s">
        <v>34</v>
      </c>
      <c r="H80" s="12" t="s">
        <v>26</v>
      </c>
      <c r="I80" s="12" t="s">
        <v>27</v>
      </c>
      <c r="J80" s="12" t="s">
        <v>28</v>
      </c>
      <c r="K80" s="12" t="s">
        <v>29</v>
      </c>
      <c r="L80" s="12" t="s">
        <v>2</v>
      </c>
      <c r="M80" s="12" t="s">
        <v>2</v>
      </c>
      <c r="N80" s="12" t="s">
        <v>103</v>
      </c>
      <c r="O80" s="12" t="s">
        <v>103</v>
      </c>
      <c r="P80" s="12" t="s">
        <v>101</v>
      </c>
      <c r="Q80" s="12" t="s">
        <v>118</v>
      </c>
      <c r="R80" s="12" t="s">
        <v>152</v>
      </c>
      <c r="S80" s="18">
        <f>_xlfn.XLOOKUP(R80,'Price Assumptions'!E:E,'Price Assumptions'!G:G)</f>
        <v>2.99</v>
      </c>
      <c r="T80" s="18">
        <f t="shared" si="1"/>
        <v>28496088.422256272</v>
      </c>
      <c r="U80" s="12" t="s">
        <v>30</v>
      </c>
      <c r="V80" s="12" t="s">
        <v>9</v>
      </c>
      <c r="W80" s="19">
        <v>9530464.3552696556</v>
      </c>
    </row>
    <row r="81" spans="3:23" x14ac:dyDescent="0.3">
      <c r="C81" s="12">
        <v>2029</v>
      </c>
      <c r="D81" s="12" t="s">
        <v>55</v>
      </c>
      <c r="E81" s="12" t="s">
        <v>56</v>
      </c>
      <c r="F81" s="12" t="s">
        <v>33</v>
      </c>
      <c r="G81" s="12" t="s">
        <v>34</v>
      </c>
      <c r="H81" s="12" t="s">
        <v>26</v>
      </c>
      <c r="I81" s="12" t="s">
        <v>27</v>
      </c>
      <c r="J81" s="12" t="s">
        <v>28</v>
      </c>
      <c r="K81" s="12" t="s">
        <v>29</v>
      </c>
      <c r="L81" s="12" t="s">
        <v>2</v>
      </c>
      <c r="M81" s="12" t="s">
        <v>2</v>
      </c>
      <c r="N81" s="12" t="s">
        <v>107</v>
      </c>
      <c r="O81" s="12" t="s">
        <v>107</v>
      </c>
      <c r="P81" s="12" t="s">
        <v>108</v>
      </c>
      <c r="Q81" s="12" t="s">
        <v>118</v>
      </c>
      <c r="R81" s="12" t="s">
        <v>152</v>
      </c>
      <c r="S81" s="18">
        <f>_xlfn.XLOOKUP(R81,'Price Assumptions'!E:E,'Price Assumptions'!G:G)</f>
        <v>2.99</v>
      </c>
      <c r="T81" s="18">
        <f t="shared" si="1"/>
        <v>104658.95419788217</v>
      </c>
      <c r="U81" s="12" t="s">
        <v>30</v>
      </c>
      <c r="V81" s="12" t="s">
        <v>9</v>
      </c>
      <c r="W81" s="19">
        <v>35002.994715010755</v>
      </c>
    </row>
    <row r="82" spans="3:23" x14ac:dyDescent="0.3">
      <c r="C82" s="12">
        <v>2029</v>
      </c>
      <c r="D82" s="12" t="s">
        <v>65</v>
      </c>
      <c r="E82" s="12" t="s">
        <v>66</v>
      </c>
      <c r="F82" s="12" t="s">
        <v>33</v>
      </c>
      <c r="G82" s="12" t="s">
        <v>34</v>
      </c>
      <c r="H82" s="12" t="s">
        <v>26</v>
      </c>
      <c r="I82" s="12" t="s">
        <v>27</v>
      </c>
      <c r="J82" s="12" t="s">
        <v>28</v>
      </c>
      <c r="K82" s="12" t="s">
        <v>29</v>
      </c>
      <c r="L82" s="12" t="s">
        <v>2</v>
      </c>
      <c r="M82" s="12" t="s">
        <v>2</v>
      </c>
      <c r="N82" s="12" t="s">
        <v>104</v>
      </c>
      <c r="O82" s="12" t="s">
        <v>104</v>
      </c>
      <c r="P82" s="12" t="s">
        <v>100</v>
      </c>
      <c r="Q82" s="12" t="s">
        <v>100</v>
      </c>
      <c r="R82" s="12" t="s">
        <v>151</v>
      </c>
      <c r="S82" s="18">
        <f>_xlfn.XLOOKUP(R82,'Price Assumptions'!E:E,'Price Assumptions'!G:G)</f>
        <v>5</v>
      </c>
      <c r="T82" s="18">
        <f t="shared" si="1"/>
        <v>2316412.4382788986</v>
      </c>
      <c r="U82" s="12" t="s">
        <v>30</v>
      </c>
      <c r="V82" s="12" t="s">
        <v>9</v>
      </c>
      <c r="W82" s="19">
        <v>463282.4876557797</v>
      </c>
    </row>
    <row r="83" spans="3:23" x14ac:dyDescent="0.3">
      <c r="C83" s="12">
        <v>2029</v>
      </c>
      <c r="D83" s="12" t="s">
        <v>67</v>
      </c>
      <c r="E83" s="12" t="s">
        <v>68</v>
      </c>
      <c r="F83" s="12" t="s">
        <v>33</v>
      </c>
      <c r="G83" s="12" t="s">
        <v>34</v>
      </c>
      <c r="H83" s="12" t="s">
        <v>26</v>
      </c>
      <c r="I83" s="12" t="s">
        <v>27</v>
      </c>
      <c r="J83" s="12" t="s">
        <v>28</v>
      </c>
      <c r="K83" s="12" t="s">
        <v>29</v>
      </c>
      <c r="L83" s="12" t="s">
        <v>2</v>
      </c>
      <c r="M83" s="12" t="s">
        <v>2</v>
      </c>
      <c r="N83" s="12" t="s">
        <v>107</v>
      </c>
      <c r="O83" s="12" t="s">
        <v>107</v>
      </c>
      <c r="P83" s="12" t="s">
        <v>108</v>
      </c>
      <c r="Q83" s="12" t="s">
        <v>120</v>
      </c>
      <c r="R83" s="12" t="s">
        <v>153</v>
      </c>
      <c r="S83" s="18">
        <f>_xlfn.XLOOKUP(R83,'Price Assumptions'!E:E,'Price Assumptions'!G:G)</f>
        <v>2.99</v>
      </c>
      <c r="T83" s="18">
        <f t="shared" si="1"/>
        <v>437846.92950826144</v>
      </c>
      <c r="U83" s="12" t="s">
        <v>30</v>
      </c>
      <c r="V83" s="12" t="s">
        <v>9</v>
      </c>
      <c r="W83" s="19">
        <v>146437.1001699871</v>
      </c>
    </row>
    <row r="84" spans="3:23" x14ac:dyDescent="0.3">
      <c r="C84" s="12">
        <v>2029</v>
      </c>
      <c r="D84" s="12" t="s">
        <v>69</v>
      </c>
      <c r="E84" s="12" t="s">
        <v>70</v>
      </c>
      <c r="F84" s="12" t="s">
        <v>33</v>
      </c>
      <c r="G84" s="12" t="s">
        <v>34</v>
      </c>
      <c r="H84" s="12" t="s">
        <v>26</v>
      </c>
      <c r="I84" s="12" t="s">
        <v>27</v>
      </c>
      <c r="J84" s="12" t="s">
        <v>28</v>
      </c>
      <c r="K84" s="12" t="s">
        <v>29</v>
      </c>
      <c r="L84" s="12" t="s">
        <v>2</v>
      </c>
      <c r="M84" s="12" t="s">
        <v>2</v>
      </c>
      <c r="N84" s="12" t="s">
        <v>99</v>
      </c>
      <c r="O84" s="12" t="s">
        <v>99</v>
      </c>
      <c r="P84" s="12" t="s">
        <v>100</v>
      </c>
      <c r="Q84" s="12" t="s">
        <v>100</v>
      </c>
      <c r="R84" s="12" t="s">
        <v>151</v>
      </c>
      <c r="S84" s="18">
        <f>_xlfn.XLOOKUP(R84,'Price Assumptions'!E:E,'Price Assumptions'!G:G)</f>
        <v>5</v>
      </c>
      <c r="T84" s="18">
        <f t="shared" si="1"/>
        <v>8043332.7491579996</v>
      </c>
      <c r="U84" s="12" t="s">
        <v>30</v>
      </c>
      <c r="V84" s="12" t="s">
        <v>9</v>
      </c>
      <c r="W84" s="19">
        <v>1608666.5498315999</v>
      </c>
    </row>
    <row r="85" spans="3:23" x14ac:dyDescent="0.3">
      <c r="C85" s="12">
        <v>2029</v>
      </c>
      <c r="D85" s="12" t="s">
        <v>71</v>
      </c>
      <c r="E85" s="12" t="s">
        <v>72</v>
      </c>
      <c r="F85" s="12" t="s">
        <v>33</v>
      </c>
      <c r="G85" s="12" t="s">
        <v>34</v>
      </c>
      <c r="H85" s="12" t="s">
        <v>26</v>
      </c>
      <c r="I85" s="12" t="s">
        <v>27</v>
      </c>
      <c r="J85" s="12" t="s">
        <v>28</v>
      </c>
      <c r="K85" s="12" t="s">
        <v>29</v>
      </c>
      <c r="L85" s="12" t="s">
        <v>2</v>
      </c>
      <c r="M85" s="12" t="s">
        <v>2</v>
      </c>
      <c r="N85" s="12" t="s">
        <v>107</v>
      </c>
      <c r="O85" s="12" t="s">
        <v>107</v>
      </c>
      <c r="P85" s="12" t="s">
        <v>108</v>
      </c>
      <c r="Q85" s="12" t="s">
        <v>118</v>
      </c>
      <c r="R85" s="12" t="s">
        <v>152</v>
      </c>
      <c r="S85" s="18">
        <f>_xlfn.XLOOKUP(R85,'Price Assumptions'!E:E,'Price Assumptions'!G:G)</f>
        <v>2.99</v>
      </c>
      <c r="T85" s="18">
        <f t="shared" si="1"/>
        <v>4307236.5745404894</v>
      </c>
      <c r="U85" s="12" t="s">
        <v>30</v>
      </c>
      <c r="V85" s="12" t="s">
        <v>9</v>
      </c>
      <c r="W85" s="19">
        <v>1440547.3493446452</v>
      </c>
    </row>
    <row r="86" spans="3:23" x14ac:dyDescent="0.3">
      <c r="C86" s="12">
        <v>2029</v>
      </c>
      <c r="D86" s="12" t="s">
        <v>75</v>
      </c>
      <c r="E86" s="12" t="s">
        <v>76</v>
      </c>
      <c r="F86" s="12" t="s">
        <v>33</v>
      </c>
      <c r="G86" s="12" t="s">
        <v>34</v>
      </c>
      <c r="H86" s="12" t="s">
        <v>26</v>
      </c>
      <c r="I86" s="12" t="s">
        <v>27</v>
      </c>
      <c r="J86" s="12" t="s">
        <v>28</v>
      </c>
      <c r="K86" s="12" t="s">
        <v>29</v>
      </c>
      <c r="L86" s="12" t="s">
        <v>2</v>
      </c>
      <c r="M86" s="12" t="s">
        <v>2</v>
      </c>
      <c r="N86" s="12" t="s">
        <v>105</v>
      </c>
      <c r="O86" s="12" t="s">
        <v>105</v>
      </c>
      <c r="P86" s="12" t="s">
        <v>101</v>
      </c>
      <c r="Q86" s="12" t="s">
        <v>118</v>
      </c>
      <c r="R86" s="12" t="s">
        <v>152</v>
      </c>
      <c r="S86" s="18">
        <f>_xlfn.XLOOKUP(R86,'Price Assumptions'!E:E,'Price Assumptions'!G:G)</f>
        <v>2.99</v>
      </c>
      <c r="T86" s="18">
        <f t="shared" si="1"/>
        <v>7242358.7394795194</v>
      </c>
      <c r="U86" s="12" t="s">
        <v>30</v>
      </c>
      <c r="V86" s="12" t="s">
        <v>9</v>
      </c>
      <c r="W86" s="19">
        <v>2422193.558354354</v>
      </c>
    </row>
    <row r="87" spans="3:23" x14ac:dyDescent="0.3">
      <c r="C87" s="12">
        <v>2029</v>
      </c>
      <c r="D87" s="12" t="s">
        <v>77</v>
      </c>
      <c r="E87" s="12" t="s">
        <v>78</v>
      </c>
      <c r="F87" s="12" t="s">
        <v>33</v>
      </c>
      <c r="G87" s="12" t="s">
        <v>34</v>
      </c>
      <c r="H87" s="12" t="s">
        <v>26</v>
      </c>
      <c r="I87" s="12" t="s">
        <v>27</v>
      </c>
      <c r="J87" s="12" t="s">
        <v>28</v>
      </c>
      <c r="K87" s="12" t="s">
        <v>29</v>
      </c>
      <c r="L87" s="12" t="s">
        <v>2</v>
      </c>
      <c r="M87" s="12" t="s">
        <v>2</v>
      </c>
      <c r="N87" s="12" t="s">
        <v>105</v>
      </c>
      <c r="O87" s="12" t="s">
        <v>105</v>
      </c>
      <c r="P87" s="12" t="s">
        <v>100</v>
      </c>
      <c r="Q87" s="12" t="s">
        <v>100</v>
      </c>
      <c r="R87" s="12" t="s">
        <v>151</v>
      </c>
      <c r="S87" s="18">
        <f>_xlfn.XLOOKUP(R87,'Price Assumptions'!E:E,'Price Assumptions'!G:G)</f>
        <v>5</v>
      </c>
      <c r="T87" s="18">
        <f t="shared" si="1"/>
        <v>9492719.773893021</v>
      </c>
      <c r="U87" s="12" t="s">
        <v>30</v>
      </c>
      <c r="V87" s="12" t="s">
        <v>9</v>
      </c>
      <c r="W87" s="19">
        <v>1898543.9547786042</v>
      </c>
    </row>
    <row r="88" spans="3:23" x14ac:dyDescent="0.3">
      <c r="C88" s="12">
        <v>2029</v>
      </c>
      <c r="D88" s="12" t="s">
        <v>81</v>
      </c>
      <c r="E88" s="12" t="s">
        <v>82</v>
      </c>
      <c r="F88" s="12" t="s">
        <v>33</v>
      </c>
      <c r="G88" s="12" t="s">
        <v>34</v>
      </c>
      <c r="H88" s="12" t="s">
        <v>26</v>
      </c>
      <c r="I88" s="12" t="s">
        <v>27</v>
      </c>
      <c r="J88" s="12" t="s">
        <v>28</v>
      </c>
      <c r="K88" s="12" t="s">
        <v>29</v>
      </c>
      <c r="L88" s="12" t="s">
        <v>2</v>
      </c>
      <c r="M88" s="12" t="s">
        <v>2</v>
      </c>
      <c r="N88" s="12" t="s">
        <v>106</v>
      </c>
      <c r="O88" s="12" t="s">
        <v>106</v>
      </c>
      <c r="P88" s="12" t="s">
        <v>100</v>
      </c>
      <c r="Q88" s="12" t="s">
        <v>100</v>
      </c>
      <c r="R88" s="12" t="s">
        <v>151</v>
      </c>
      <c r="S88" s="18">
        <f>_xlfn.XLOOKUP(R88,'Price Assumptions'!E:E,'Price Assumptions'!G:G)</f>
        <v>5</v>
      </c>
      <c r="T88" s="18">
        <f t="shared" si="1"/>
        <v>3522786.9913999997</v>
      </c>
      <c r="U88" s="12" t="s">
        <v>30</v>
      </c>
      <c r="V88" s="12" t="s">
        <v>9</v>
      </c>
      <c r="W88" s="19">
        <v>704557.39827999996</v>
      </c>
    </row>
    <row r="89" spans="3:23" x14ac:dyDescent="0.3">
      <c r="C89" s="12">
        <v>2029</v>
      </c>
      <c r="D89" s="12" t="s">
        <v>83</v>
      </c>
      <c r="E89" s="12" t="s">
        <v>84</v>
      </c>
      <c r="F89" s="12" t="s">
        <v>25</v>
      </c>
      <c r="G89" s="12" t="s">
        <v>34</v>
      </c>
      <c r="H89" s="12" t="s">
        <v>26</v>
      </c>
      <c r="I89" s="12" t="s">
        <v>27</v>
      </c>
      <c r="J89" s="12" t="s">
        <v>28</v>
      </c>
      <c r="K89" s="12" t="s">
        <v>29</v>
      </c>
      <c r="L89" s="12" t="s">
        <v>2</v>
      </c>
      <c r="M89" s="12" t="s">
        <v>2</v>
      </c>
      <c r="N89" s="12" t="s">
        <v>107</v>
      </c>
      <c r="O89" s="12" t="s">
        <v>107</v>
      </c>
      <c r="P89" s="12" t="s">
        <v>108</v>
      </c>
      <c r="Q89" s="12" t="s">
        <v>120</v>
      </c>
      <c r="R89" s="12" t="s">
        <v>153</v>
      </c>
      <c r="S89" s="18">
        <f>_xlfn.XLOOKUP(R89,'Price Assumptions'!E:E,'Price Assumptions'!G:G)</f>
        <v>2.99</v>
      </c>
      <c r="T89" s="18">
        <f t="shared" si="1"/>
        <v>923462.30979295284</v>
      </c>
      <c r="U89" s="12" t="s">
        <v>30</v>
      </c>
      <c r="V89" s="12" t="s">
        <v>9</v>
      </c>
      <c r="W89" s="19">
        <v>308850.27083376347</v>
      </c>
    </row>
    <row r="90" spans="3:23" x14ac:dyDescent="0.3">
      <c r="C90" s="12">
        <v>2029</v>
      </c>
      <c r="D90" s="12" t="s">
        <v>97</v>
      </c>
      <c r="E90" s="12" t="s">
        <v>98</v>
      </c>
      <c r="F90" s="12" t="s">
        <v>33</v>
      </c>
      <c r="G90" s="12" t="s">
        <v>34</v>
      </c>
      <c r="H90" s="12" t="s">
        <v>26</v>
      </c>
      <c r="I90" s="12" t="s">
        <v>27</v>
      </c>
      <c r="J90" s="12" t="s">
        <v>28</v>
      </c>
      <c r="K90" s="12" t="s">
        <v>29</v>
      </c>
      <c r="L90" s="12" t="s">
        <v>2</v>
      </c>
      <c r="M90" s="12" t="s">
        <v>2</v>
      </c>
      <c r="N90" s="12" t="s">
        <v>105</v>
      </c>
      <c r="O90" s="12" t="s">
        <v>105</v>
      </c>
      <c r="P90" s="12" t="s">
        <v>101</v>
      </c>
      <c r="Q90" s="12" t="s">
        <v>118</v>
      </c>
      <c r="R90" s="12" t="s">
        <v>152</v>
      </c>
      <c r="S90" s="18">
        <f>_xlfn.XLOOKUP(R90,'Price Assumptions'!E:E,'Price Assumptions'!G:G)</f>
        <v>2.99</v>
      </c>
      <c r="T90" s="18">
        <f t="shared" si="1"/>
        <v>2561753.1605034126</v>
      </c>
      <c r="U90" s="12" t="s">
        <v>30</v>
      </c>
      <c r="V90" s="12" t="s">
        <v>9</v>
      </c>
      <c r="W90" s="19">
        <v>856773.63227538881</v>
      </c>
    </row>
    <row r="91" spans="3:23" x14ac:dyDescent="0.3">
      <c r="C91" s="12">
        <v>2029</v>
      </c>
      <c r="D91" s="12" t="s">
        <v>85</v>
      </c>
      <c r="E91" s="12" t="s">
        <v>86</v>
      </c>
      <c r="F91" s="12" t="s">
        <v>25</v>
      </c>
      <c r="G91" s="12" t="s">
        <v>87</v>
      </c>
      <c r="H91" s="12" t="s">
        <v>26</v>
      </c>
      <c r="I91" s="12" t="s">
        <v>27</v>
      </c>
      <c r="J91" s="12" t="s">
        <v>28</v>
      </c>
      <c r="K91" s="12" t="s">
        <v>29</v>
      </c>
      <c r="L91" s="12" t="s">
        <v>2</v>
      </c>
      <c r="M91" s="12" t="s">
        <v>2</v>
      </c>
      <c r="N91" s="12" t="s">
        <v>103</v>
      </c>
      <c r="O91" s="12" t="s">
        <v>103</v>
      </c>
      <c r="P91" s="12" t="s">
        <v>101</v>
      </c>
      <c r="Q91" s="12" t="s">
        <v>118</v>
      </c>
      <c r="R91" s="12" t="s">
        <v>152</v>
      </c>
      <c r="S91" s="18">
        <f>_xlfn.XLOOKUP(R91,'Price Assumptions'!E:E,'Price Assumptions'!G:G)</f>
        <v>2.99</v>
      </c>
      <c r="T91" s="18">
        <f t="shared" si="1"/>
        <v>6439231.1517348066</v>
      </c>
      <c r="U91" s="12" t="s">
        <v>30</v>
      </c>
      <c r="V91" s="12" t="s">
        <v>9</v>
      </c>
      <c r="W91" s="19">
        <v>2153589.0139581291</v>
      </c>
    </row>
    <row r="92" spans="3:23" x14ac:dyDescent="0.3">
      <c r="C92" s="12">
        <v>2030</v>
      </c>
      <c r="D92" s="12" t="s">
        <v>39</v>
      </c>
      <c r="E92" s="12" t="s">
        <v>40</v>
      </c>
      <c r="F92" s="12" t="s">
        <v>33</v>
      </c>
      <c r="G92" s="12" t="s">
        <v>34</v>
      </c>
      <c r="H92" s="12" t="s">
        <v>26</v>
      </c>
      <c r="I92" s="12" t="s">
        <v>27</v>
      </c>
      <c r="J92" s="12" t="s">
        <v>28</v>
      </c>
      <c r="K92" s="12" t="s">
        <v>29</v>
      </c>
      <c r="L92" s="12" t="s">
        <v>2</v>
      </c>
      <c r="M92" s="12" t="s">
        <v>2</v>
      </c>
      <c r="N92" s="12" t="s">
        <v>107</v>
      </c>
      <c r="O92" s="12" t="s">
        <v>107</v>
      </c>
      <c r="P92" s="12" t="s">
        <v>108</v>
      </c>
      <c r="Q92" s="12" t="s">
        <v>100</v>
      </c>
      <c r="R92" s="12" t="s">
        <v>154</v>
      </c>
      <c r="S92" s="18">
        <f>_xlfn.XLOOKUP(R92,'Price Assumptions'!E:E,'Price Assumptions'!G:G)</f>
        <v>5</v>
      </c>
      <c r="T92" s="18">
        <f t="shared" si="1"/>
        <v>3383247.0975450003</v>
      </c>
      <c r="U92" s="12" t="s">
        <v>30</v>
      </c>
      <c r="V92" s="12" t="s">
        <v>9</v>
      </c>
      <c r="W92" s="19">
        <v>676649.41950900003</v>
      </c>
    </row>
    <row r="93" spans="3:23" x14ac:dyDescent="0.3">
      <c r="C93" s="12">
        <v>2030</v>
      </c>
      <c r="D93" s="12" t="s">
        <v>43</v>
      </c>
      <c r="E93" s="12" t="s">
        <v>44</v>
      </c>
      <c r="F93" s="12" t="s">
        <v>33</v>
      </c>
      <c r="G93" s="12" t="s">
        <v>34</v>
      </c>
      <c r="H93" s="12" t="s">
        <v>26</v>
      </c>
      <c r="I93" s="12" t="s">
        <v>27</v>
      </c>
      <c r="J93" s="12" t="s">
        <v>28</v>
      </c>
      <c r="K93" s="12" t="s">
        <v>29</v>
      </c>
      <c r="L93" s="12" t="s">
        <v>2</v>
      </c>
      <c r="M93" s="12" t="s">
        <v>2</v>
      </c>
      <c r="N93" s="12" t="s">
        <v>99</v>
      </c>
      <c r="O93" s="12" t="s">
        <v>99</v>
      </c>
      <c r="P93" s="12" t="s">
        <v>101</v>
      </c>
      <c r="Q93" s="12" t="s">
        <v>118</v>
      </c>
      <c r="R93" s="12" t="s">
        <v>155</v>
      </c>
      <c r="S93" s="18">
        <f>_xlfn.XLOOKUP(R93,'Price Assumptions'!E:E,'Price Assumptions'!G:G)</f>
        <v>2.99</v>
      </c>
      <c r="T93" s="18">
        <f t="shared" si="1"/>
        <v>1554359.7223554836</v>
      </c>
      <c r="U93" s="12" t="s">
        <v>30</v>
      </c>
      <c r="V93" s="12" t="s">
        <v>9</v>
      </c>
      <c r="W93" s="19">
        <v>519852.74995166669</v>
      </c>
    </row>
    <row r="94" spans="3:23" x14ac:dyDescent="0.3">
      <c r="C94" s="12">
        <v>2030</v>
      </c>
      <c r="D94" s="12" t="s">
        <v>45</v>
      </c>
      <c r="E94" s="12" t="s">
        <v>46</v>
      </c>
      <c r="F94" s="12" t="s">
        <v>33</v>
      </c>
      <c r="G94" s="12" t="s">
        <v>34</v>
      </c>
      <c r="H94" s="12" t="s">
        <v>26</v>
      </c>
      <c r="I94" s="12" t="s">
        <v>27</v>
      </c>
      <c r="J94" s="12" t="s">
        <v>28</v>
      </c>
      <c r="K94" s="12" t="s">
        <v>29</v>
      </c>
      <c r="L94" s="12" t="s">
        <v>2</v>
      </c>
      <c r="M94" s="12" t="s">
        <v>2</v>
      </c>
      <c r="N94" s="12" t="s">
        <v>102</v>
      </c>
      <c r="O94" s="12" t="s">
        <v>102</v>
      </c>
      <c r="P94" s="12" t="s">
        <v>101</v>
      </c>
      <c r="Q94" s="12" t="s">
        <v>118</v>
      </c>
      <c r="R94" s="12" t="s">
        <v>155</v>
      </c>
      <c r="S94" s="18">
        <f>_xlfn.XLOOKUP(R94,'Price Assumptions'!E:E,'Price Assumptions'!G:G)</f>
        <v>2.99</v>
      </c>
      <c r="T94" s="18">
        <f t="shared" si="1"/>
        <v>3141785.6816974785</v>
      </c>
      <c r="U94" s="12" t="s">
        <v>30</v>
      </c>
      <c r="V94" s="12" t="s">
        <v>9</v>
      </c>
      <c r="W94" s="19">
        <v>1050764.4420392904</v>
      </c>
    </row>
    <row r="95" spans="3:23" x14ac:dyDescent="0.3">
      <c r="C95" s="12">
        <v>2030</v>
      </c>
      <c r="D95" s="12" t="s">
        <v>51</v>
      </c>
      <c r="E95" s="12" t="s">
        <v>52</v>
      </c>
      <c r="F95" s="12" t="s">
        <v>33</v>
      </c>
      <c r="G95" s="12" t="s">
        <v>34</v>
      </c>
      <c r="H95" s="12" t="s">
        <v>26</v>
      </c>
      <c r="I95" s="12" t="s">
        <v>27</v>
      </c>
      <c r="J95" s="12" t="s">
        <v>28</v>
      </c>
      <c r="K95" s="12" t="s">
        <v>29</v>
      </c>
      <c r="L95" s="12" t="s">
        <v>2</v>
      </c>
      <c r="M95" s="12" t="s">
        <v>2</v>
      </c>
      <c r="N95" s="12" t="s">
        <v>103</v>
      </c>
      <c r="O95" s="12" t="s">
        <v>103</v>
      </c>
      <c r="P95" s="12" t="s">
        <v>101</v>
      </c>
      <c r="Q95" s="12" t="s">
        <v>118</v>
      </c>
      <c r="R95" s="12" t="s">
        <v>155</v>
      </c>
      <c r="S95" s="18">
        <f>_xlfn.XLOOKUP(R95,'Price Assumptions'!E:E,'Price Assumptions'!G:G)</f>
        <v>2.99</v>
      </c>
      <c r="T95" s="18">
        <f t="shared" si="1"/>
        <v>29178166.200100414</v>
      </c>
      <c r="U95" s="12" t="s">
        <v>30</v>
      </c>
      <c r="V95" s="12" t="s">
        <v>9</v>
      </c>
      <c r="W95" s="19">
        <v>9758584.0134115089</v>
      </c>
    </row>
    <row r="96" spans="3:23" x14ac:dyDescent="0.3">
      <c r="C96" s="12">
        <v>2030</v>
      </c>
      <c r="D96" s="12" t="s">
        <v>55</v>
      </c>
      <c r="E96" s="12" t="s">
        <v>56</v>
      </c>
      <c r="F96" s="12" t="s">
        <v>33</v>
      </c>
      <c r="G96" s="12" t="s">
        <v>34</v>
      </c>
      <c r="H96" s="12" t="s">
        <v>26</v>
      </c>
      <c r="I96" s="12" t="s">
        <v>27</v>
      </c>
      <c r="J96" s="12" t="s">
        <v>28</v>
      </c>
      <c r="K96" s="12" t="s">
        <v>29</v>
      </c>
      <c r="L96" s="12" t="s">
        <v>2</v>
      </c>
      <c r="M96" s="12" t="s">
        <v>2</v>
      </c>
      <c r="N96" s="12" t="s">
        <v>107</v>
      </c>
      <c r="O96" s="12" t="s">
        <v>107</v>
      </c>
      <c r="P96" s="12" t="s">
        <v>108</v>
      </c>
      <c r="Q96" s="12" t="s">
        <v>118</v>
      </c>
      <c r="R96" s="12" t="s">
        <v>155</v>
      </c>
      <c r="S96" s="18">
        <f>_xlfn.XLOOKUP(R96,'Price Assumptions'!E:E,'Price Assumptions'!G:G)</f>
        <v>2.99</v>
      </c>
      <c r="T96" s="18">
        <f t="shared" si="1"/>
        <v>106025.59801053163</v>
      </c>
      <c r="U96" s="12" t="s">
        <v>30</v>
      </c>
      <c r="V96" s="12" t="s">
        <v>9</v>
      </c>
      <c r="W96" s="19">
        <v>35460.066224258066</v>
      </c>
    </row>
    <row r="97" spans="3:23" x14ac:dyDescent="0.3">
      <c r="C97" s="12">
        <v>2030</v>
      </c>
      <c r="D97" s="12" t="s">
        <v>65</v>
      </c>
      <c r="E97" s="12" t="s">
        <v>66</v>
      </c>
      <c r="F97" s="12" t="s">
        <v>33</v>
      </c>
      <c r="G97" s="12" t="s">
        <v>34</v>
      </c>
      <c r="H97" s="12" t="s">
        <v>26</v>
      </c>
      <c r="I97" s="12" t="s">
        <v>27</v>
      </c>
      <c r="J97" s="12" t="s">
        <v>28</v>
      </c>
      <c r="K97" s="12" t="s">
        <v>29</v>
      </c>
      <c r="L97" s="12" t="s">
        <v>2</v>
      </c>
      <c r="M97" s="12" t="s">
        <v>2</v>
      </c>
      <c r="N97" s="12" t="s">
        <v>104</v>
      </c>
      <c r="O97" s="12" t="s">
        <v>104</v>
      </c>
      <c r="P97" s="12" t="s">
        <v>100</v>
      </c>
      <c r="Q97" s="12" t="s">
        <v>100</v>
      </c>
      <c r="R97" s="12" t="s">
        <v>154</v>
      </c>
      <c r="S97" s="18">
        <f>_xlfn.XLOOKUP(R97,'Price Assumptions'!E:E,'Price Assumptions'!G:G)</f>
        <v>5</v>
      </c>
      <c r="T97" s="18">
        <f t="shared" si="1"/>
        <v>2355484.5568987909</v>
      </c>
      <c r="U97" s="12" t="s">
        <v>30</v>
      </c>
      <c r="V97" s="12" t="s">
        <v>9</v>
      </c>
      <c r="W97" s="19">
        <v>471096.91137975815</v>
      </c>
    </row>
    <row r="98" spans="3:23" x14ac:dyDescent="0.3">
      <c r="C98" s="12">
        <v>2030</v>
      </c>
      <c r="D98" s="12" t="s">
        <v>67</v>
      </c>
      <c r="E98" s="12" t="s">
        <v>68</v>
      </c>
      <c r="F98" s="12" t="s">
        <v>33</v>
      </c>
      <c r="G98" s="12" t="s">
        <v>34</v>
      </c>
      <c r="H98" s="12" t="s">
        <v>26</v>
      </c>
      <c r="I98" s="12" t="s">
        <v>27</v>
      </c>
      <c r="J98" s="12" t="s">
        <v>28</v>
      </c>
      <c r="K98" s="12" t="s">
        <v>29</v>
      </c>
      <c r="L98" s="12" t="s">
        <v>2</v>
      </c>
      <c r="M98" s="12" t="s">
        <v>2</v>
      </c>
      <c r="N98" s="12" t="s">
        <v>107</v>
      </c>
      <c r="O98" s="12" t="s">
        <v>107</v>
      </c>
      <c r="P98" s="12" t="s">
        <v>108</v>
      </c>
      <c r="Q98" s="12" t="s">
        <v>120</v>
      </c>
      <c r="R98" s="12" t="s">
        <v>156</v>
      </c>
      <c r="S98" s="18">
        <f>_xlfn.XLOOKUP(R98,'Price Assumptions'!E:E,'Price Assumptions'!G:G)</f>
        <v>2.99</v>
      </c>
      <c r="T98" s="18">
        <f t="shared" si="1"/>
        <v>433553.58827183925</v>
      </c>
      <c r="U98" s="12" t="s">
        <v>30</v>
      </c>
      <c r="V98" s="12" t="s">
        <v>9</v>
      </c>
      <c r="W98" s="19">
        <v>145001.20009091613</v>
      </c>
    </row>
    <row r="99" spans="3:23" x14ac:dyDescent="0.3">
      <c r="C99" s="12">
        <v>2030</v>
      </c>
      <c r="D99" s="12" t="s">
        <v>69</v>
      </c>
      <c r="E99" s="12" t="s">
        <v>70</v>
      </c>
      <c r="F99" s="12" t="s">
        <v>33</v>
      </c>
      <c r="G99" s="12" t="s">
        <v>34</v>
      </c>
      <c r="H99" s="12" t="s">
        <v>26</v>
      </c>
      <c r="I99" s="12" t="s">
        <v>27</v>
      </c>
      <c r="J99" s="12" t="s">
        <v>28</v>
      </c>
      <c r="K99" s="12" t="s">
        <v>29</v>
      </c>
      <c r="L99" s="12" t="s">
        <v>2</v>
      </c>
      <c r="M99" s="12" t="s">
        <v>2</v>
      </c>
      <c r="N99" s="12" t="s">
        <v>99</v>
      </c>
      <c r="O99" s="12" t="s">
        <v>99</v>
      </c>
      <c r="P99" s="12" t="s">
        <v>100</v>
      </c>
      <c r="Q99" s="12" t="s">
        <v>100</v>
      </c>
      <c r="R99" s="12" t="s">
        <v>154</v>
      </c>
      <c r="S99" s="18">
        <f>_xlfn.XLOOKUP(R99,'Price Assumptions'!E:E,'Price Assumptions'!G:G)</f>
        <v>5</v>
      </c>
      <c r="T99" s="18">
        <f t="shared" si="1"/>
        <v>8224337.3935355898</v>
      </c>
      <c r="U99" s="12" t="s">
        <v>30</v>
      </c>
      <c r="V99" s="12" t="s">
        <v>9</v>
      </c>
      <c r="W99" s="19">
        <v>1644867.478707118</v>
      </c>
    </row>
    <row r="100" spans="3:23" x14ac:dyDescent="0.3">
      <c r="C100" s="12">
        <v>2030</v>
      </c>
      <c r="D100" s="12" t="s">
        <v>71</v>
      </c>
      <c r="E100" s="12" t="s">
        <v>72</v>
      </c>
      <c r="F100" s="12" t="s">
        <v>33</v>
      </c>
      <c r="G100" s="12" t="s">
        <v>34</v>
      </c>
      <c r="H100" s="12" t="s">
        <v>26</v>
      </c>
      <c r="I100" s="12" t="s">
        <v>27</v>
      </c>
      <c r="J100" s="12" t="s">
        <v>28</v>
      </c>
      <c r="K100" s="12" t="s">
        <v>29</v>
      </c>
      <c r="L100" s="12" t="s">
        <v>2</v>
      </c>
      <c r="M100" s="12" t="s">
        <v>2</v>
      </c>
      <c r="N100" s="12" t="s">
        <v>107</v>
      </c>
      <c r="O100" s="12" t="s">
        <v>107</v>
      </c>
      <c r="P100" s="12" t="s">
        <v>108</v>
      </c>
      <c r="Q100" s="12" t="s">
        <v>118</v>
      </c>
      <c r="R100" s="12" t="s">
        <v>155</v>
      </c>
      <c r="S100" s="18">
        <f>_xlfn.XLOOKUP(R100,'Price Assumptions'!E:E,'Price Assumptions'!G:G)</f>
        <v>2.99</v>
      </c>
      <c r="T100" s="18">
        <f t="shared" si="1"/>
        <v>4438961.5221585892</v>
      </c>
      <c r="U100" s="12" t="s">
        <v>30</v>
      </c>
      <c r="V100" s="12" t="s">
        <v>9</v>
      </c>
      <c r="W100" s="19">
        <v>1484602.5157721033</v>
      </c>
    </row>
    <row r="101" spans="3:23" x14ac:dyDescent="0.3">
      <c r="C101" s="12">
        <v>2030</v>
      </c>
      <c r="D101" s="12" t="s">
        <v>75</v>
      </c>
      <c r="E101" s="12" t="s">
        <v>76</v>
      </c>
      <c r="F101" s="12" t="s">
        <v>33</v>
      </c>
      <c r="G101" s="12" t="s">
        <v>34</v>
      </c>
      <c r="H101" s="12" t="s">
        <v>26</v>
      </c>
      <c r="I101" s="12" t="s">
        <v>27</v>
      </c>
      <c r="J101" s="12" t="s">
        <v>28</v>
      </c>
      <c r="K101" s="12" t="s">
        <v>29</v>
      </c>
      <c r="L101" s="12" t="s">
        <v>2</v>
      </c>
      <c r="M101" s="12" t="s">
        <v>2</v>
      </c>
      <c r="N101" s="12" t="s">
        <v>105</v>
      </c>
      <c r="O101" s="12" t="s">
        <v>105</v>
      </c>
      <c r="P101" s="12" t="s">
        <v>101</v>
      </c>
      <c r="Q101" s="12" t="s">
        <v>118</v>
      </c>
      <c r="R101" s="12" t="s">
        <v>155</v>
      </c>
      <c r="S101" s="18">
        <f>_xlfn.XLOOKUP(R101,'Price Assumptions'!E:E,'Price Assumptions'!G:G)</f>
        <v>2.99</v>
      </c>
      <c r="T101" s="18">
        <f t="shared" si="1"/>
        <v>7432881.3436481375</v>
      </c>
      <c r="U101" s="12" t="s">
        <v>30</v>
      </c>
      <c r="V101" s="12" t="s">
        <v>9</v>
      </c>
      <c r="W101" s="19">
        <v>2485913.4928589086</v>
      </c>
    </row>
    <row r="102" spans="3:23" x14ac:dyDescent="0.3">
      <c r="C102" s="12">
        <v>2030</v>
      </c>
      <c r="D102" s="12" t="s">
        <v>77</v>
      </c>
      <c r="E102" s="12" t="s">
        <v>78</v>
      </c>
      <c r="F102" s="12" t="s">
        <v>33</v>
      </c>
      <c r="G102" s="12" t="s">
        <v>34</v>
      </c>
      <c r="H102" s="12" t="s">
        <v>26</v>
      </c>
      <c r="I102" s="12" t="s">
        <v>27</v>
      </c>
      <c r="J102" s="12" t="s">
        <v>28</v>
      </c>
      <c r="K102" s="12" t="s">
        <v>29</v>
      </c>
      <c r="L102" s="12" t="s">
        <v>2</v>
      </c>
      <c r="M102" s="12" t="s">
        <v>2</v>
      </c>
      <c r="N102" s="12" t="s">
        <v>105</v>
      </c>
      <c r="O102" s="12" t="s">
        <v>105</v>
      </c>
      <c r="P102" s="12" t="s">
        <v>100</v>
      </c>
      <c r="Q102" s="12" t="s">
        <v>100</v>
      </c>
      <c r="R102" s="12" t="s">
        <v>154</v>
      </c>
      <c r="S102" s="18">
        <f>_xlfn.XLOOKUP(R102,'Price Assumptions'!E:E,'Price Assumptions'!G:G)</f>
        <v>5</v>
      </c>
      <c r="T102" s="18">
        <f t="shared" si="1"/>
        <v>9740389.2295964584</v>
      </c>
      <c r="U102" s="12" t="s">
        <v>30</v>
      </c>
      <c r="V102" s="12" t="s">
        <v>9</v>
      </c>
      <c r="W102" s="19">
        <v>1948077.8459192917</v>
      </c>
    </row>
    <row r="103" spans="3:23" x14ac:dyDescent="0.3">
      <c r="C103" s="12">
        <v>2030</v>
      </c>
      <c r="D103" s="12" t="s">
        <v>81</v>
      </c>
      <c r="E103" s="12" t="s">
        <v>82</v>
      </c>
      <c r="F103" s="12" t="s">
        <v>33</v>
      </c>
      <c r="G103" s="12" t="s">
        <v>34</v>
      </c>
      <c r="H103" s="12" t="s">
        <v>26</v>
      </c>
      <c r="I103" s="12" t="s">
        <v>27</v>
      </c>
      <c r="J103" s="12" t="s">
        <v>28</v>
      </c>
      <c r="K103" s="12" t="s">
        <v>29</v>
      </c>
      <c r="L103" s="12" t="s">
        <v>2</v>
      </c>
      <c r="M103" s="12" t="s">
        <v>2</v>
      </c>
      <c r="N103" s="12" t="s">
        <v>106</v>
      </c>
      <c r="O103" s="12" t="s">
        <v>106</v>
      </c>
      <c r="P103" s="12" t="s">
        <v>100</v>
      </c>
      <c r="Q103" s="12" t="s">
        <v>100</v>
      </c>
      <c r="R103" s="12" t="s">
        <v>154</v>
      </c>
      <c r="S103" s="18">
        <f>_xlfn.XLOOKUP(R103,'Price Assumptions'!E:E,'Price Assumptions'!G:G)</f>
        <v>5</v>
      </c>
      <c r="T103" s="18">
        <f t="shared" si="1"/>
        <v>3529145.1420625001</v>
      </c>
      <c r="U103" s="12" t="s">
        <v>30</v>
      </c>
      <c r="V103" s="12" t="s">
        <v>9</v>
      </c>
      <c r="W103" s="19">
        <v>705829.02841250005</v>
      </c>
    </row>
    <row r="104" spans="3:23" x14ac:dyDescent="0.3">
      <c r="C104" s="12">
        <v>2030</v>
      </c>
      <c r="D104" s="12" t="s">
        <v>83</v>
      </c>
      <c r="E104" s="12" t="s">
        <v>84</v>
      </c>
      <c r="F104" s="12" t="s">
        <v>25</v>
      </c>
      <c r="G104" s="12" t="s">
        <v>34</v>
      </c>
      <c r="H104" s="12" t="s">
        <v>26</v>
      </c>
      <c r="I104" s="12" t="s">
        <v>27</v>
      </c>
      <c r="J104" s="12" t="s">
        <v>28</v>
      </c>
      <c r="K104" s="12" t="s">
        <v>29</v>
      </c>
      <c r="L104" s="12" t="s">
        <v>2</v>
      </c>
      <c r="M104" s="12" t="s">
        <v>2</v>
      </c>
      <c r="N104" s="12" t="s">
        <v>107</v>
      </c>
      <c r="O104" s="12" t="s">
        <v>107</v>
      </c>
      <c r="P104" s="12" t="s">
        <v>108</v>
      </c>
      <c r="Q104" s="12" t="s">
        <v>120</v>
      </c>
      <c r="R104" s="12" t="s">
        <v>156</v>
      </c>
      <c r="S104" s="18">
        <f>_xlfn.XLOOKUP(R104,'Price Assumptions'!E:E,'Price Assumptions'!G:G)</f>
        <v>2.99</v>
      </c>
      <c r="T104" s="18">
        <f t="shared" si="1"/>
        <v>995523.07331426407</v>
      </c>
      <c r="U104" s="12" t="s">
        <v>30</v>
      </c>
      <c r="V104" s="12" t="s">
        <v>9</v>
      </c>
      <c r="W104" s="19">
        <v>332950.86064022209</v>
      </c>
    </row>
    <row r="105" spans="3:23" x14ac:dyDescent="0.3">
      <c r="C105" s="12">
        <v>2030</v>
      </c>
      <c r="D105" s="12" t="s">
        <v>85</v>
      </c>
      <c r="E105" s="12" t="s">
        <v>86</v>
      </c>
      <c r="F105" s="12" t="s">
        <v>25</v>
      </c>
      <c r="G105" s="12" t="s">
        <v>87</v>
      </c>
      <c r="H105" s="12" t="s">
        <v>26</v>
      </c>
      <c r="I105" s="12" t="s">
        <v>27</v>
      </c>
      <c r="J105" s="12" t="s">
        <v>28</v>
      </c>
      <c r="K105" s="12" t="s">
        <v>29</v>
      </c>
      <c r="L105" s="12" t="s">
        <v>2</v>
      </c>
      <c r="M105" s="12" t="s">
        <v>2</v>
      </c>
      <c r="N105" s="12" t="s">
        <v>103</v>
      </c>
      <c r="O105" s="12" t="s">
        <v>103</v>
      </c>
      <c r="P105" s="12" t="s">
        <v>101</v>
      </c>
      <c r="Q105" s="12" t="s">
        <v>118</v>
      </c>
      <c r="R105" s="12" t="s">
        <v>155</v>
      </c>
      <c r="S105" s="18">
        <f>_xlfn.XLOOKUP(R105,'Price Assumptions'!E:E,'Price Assumptions'!G:G)</f>
        <v>2.99</v>
      </c>
      <c r="T105" s="18">
        <f t="shared" si="1"/>
        <v>6529872.8800286883</v>
      </c>
      <c r="U105" s="12" t="s">
        <v>30</v>
      </c>
      <c r="V105" s="12" t="s">
        <v>9</v>
      </c>
      <c r="W105" s="19">
        <v>2183903.9732537419</v>
      </c>
    </row>
    <row r="106" spans="3:23" x14ac:dyDescent="0.3">
      <c r="C106" s="12">
        <v>2031</v>
      </c>
      <c r="D106" s="12" t="s">
        <v>39</v>
      </c>
      <c r="E106" s="12" t="s">
        <v>40</v>
      </c>
      <c r="F106" s="12" t="s">
        <v>33</v>
      </c>
      <c r="G106" s="12" t="s">
        <v>34</v>
      </c>
      <c r="H106" s="12" t="s">
        <v>26</v>
      </c>
      <c r="I106" s="12" t="s">
        <v>27</v>
      </c>
      <c r="J106" s="12" t="s">
        <v>28</v>
      </c>
      <c r="K106" s="12" t="s">
        <v>29</v>
      </c>
      <c r="L106" s="12" t="s">
        <v>2</v>
      </c>
      <c r="M106" s="12" t="s">
        <v>2</v>
      </c>
      <c r="N106" s="12" t="s">
        <v>107</v>
      </c>
      <c r="O106" s="12" t="s">
        <v>107</v>
      </c>
      <c r="P106" s="12" t="s">
        <v>108</v>
      </c>
      <c r="Q106" s="12" t="s">
        <v>100</v>
      </c>
      <c r="R106" s="12" t="s">
        <v>157</v>
      </c>
      <c r="S106" s="18">
        <f>_xlfn.XLOOKUP(R106,'Price Assumptions'!E:E,'Price Assumptions'!G:G)</f>
        <v>5</v>
      </c>
      <c r="T106" s="18">
        <f t="shared" si="1"/>
        <v>3483090.9938469348</v>
      </c>
      <c r="U106" s="12" t="s">
        <v>30</v>
      </c>
      <c r="V106" s="12" t="s">
        <v>9</v>
      </c>
      <c r="W106" s="19">
        <v>696618.19876938697</v>
      </c>
    </row>
    <row r="107" spans="3:23" x14ac:dyDescent="0.3">
      <c r="C107" s="12">
        <v>2031</v>
      </c>
      <c r="D107" s="12" t="s">
        <v>43</v>
      </c>
      <c r="E107" s="12" t="s">
        <v>44</v>
      </c>
      <c r="F107" s="12" t="s">
        <v>33</v>
      </c>
      <c r="G107" s="12" t="s">
        <v>34</v>
      </c>
      <c r="H107" s="12" t="s">
        <v>26</v>
      </c>
      <c r="I107" s="12" t="s">
        <v>27</v>
      </c>
      <c r="J107" s="12" t="s">
        <v>28</v>
      </c>
      <c r="K107" s="12" t="s">
        <v>29</v>
      </c>
      <c r="L107" s="12" t="s">
        <v>2</v>
      </c>
      <c r="M107" s="12" t="s">
        <v>2</v>
      </c>
      <c r="N107" s="12" t="s">
        <v>99</v>
      </c>
      <c r="O107" s="12" t="s">
        <v>99</v>
      </c>
      <c r="P107" s="12" t="s">
        <v>101</v>
      </c>
      <c r="Q107" s="12" t="s">
        <v>118</v>
      </c>
      <c r="R107" s="12" t="s">
        <v>158</v>
      </c>
      <c r="S107" s="18">
        <f>_xlfn.XLOOKUP(R107,'Price Assumptions'!E:E,'Price Assumptions'!G:G)</f>
        <v>2.99</v>
      </c>
      <c r="T107" s="18">
        <f t="shared" si="1"/>
        <v>1651100.7743765973</v>
      </c>
      <c r="U107" s="12" t="s">
        <v>30</v>
      </c>
      <c r="V107" s="12" t="s">
        <v>9</v>
      </c>
      <c r="W107" s="19">
        <v>552207.61684836028</v>
      </c>
    </row>
    <row r="108" spans="3:23" x14ac:dyDescent="0.3">
      <c r="C108" s="12">
        <v>2031</v>
      </c>
      <c r="D108" s="12" t="s">
        <v>45</v>
      </c>
      <c r="E108" s="12" t="s">
        <v>46</v>
      </c>
      <c r="F108" s="12" t="s">
        <v>33</v>
      </c>
      <c r="G108" s="12" t="s">
        <v>34</v>
      </c>
      <c r="H108" s="12" t="s">
        <v>26</v>
      </c>
      <c r="I108" s="12" t="s">
        <v>27</v>
      </c>
      <c r="J108" s="12" t="s">
        <v>28</v>
      </c>
      <c r="K108" s="12" t="s">
        <v>29</v>
      </c>
      <c r="L108" s="12" t="s">
        <v>2</v>
      </c>
      <c r="M108" s="12" t="s">
        <v>2</v>
      </c>
      <c r="N108" s="12" t="s">
        <v>102</v>
      </c>
      <c r="O108" s="12" t="s">
        <v>102</v>
      </c>
      <c r="P108" s="12" t="s">
        <v>101</v>
      </c>
      <c r="Q108" s="12" t="s">
        <v>118</v>
      </c>
      <c r="R108" s="12" t="s">
        <v>158</v>
      </c>
      <c r="S108" s="18">
        <f>_xlfn.XLOOKUP(R108,'Price Assumptions'!E:E,'Price Assumptions'!G:G)</f>
        <v>2.99</v>
      </c>
      <c r="T108" s="18">
        <f t="shared" si="1"/>
        <v>3223172.3657309003</v>
      </c>
      <c r="U108" s="12" t="s">
        <v>30</v>
      </c>
      <c r="V108" s="12" t="s">
        <v>9</v>
      </c>
      <c r="W108" s="19">
        <v>1077984.0688063211</v>
      </c>
    </row>
    <row r="109" spans="3:23" x14ac:dyDescent="0.3">
      <c r="C109" s="12">
        <v>2031</v>
      </c>
      <c r="D109" s="12" t="s">
        <v>51</v>
      </c>
      <c r="E109" s="12" t="s">
        <v>52</v>
      </c>
      <c r="F109" s="12" t="s">
        <v>33</v>
      </c>
      <c r="G109" s="12" t="s">
        <v>34</v>
      </c>
      <c r="H109" s="12" t="s">
        <v>26</v>
      </c>
      <c r="I109" s="12" t="s">
        <v>27</v>
      </c>
      <c r="J109" s="12" t="s">
        <v>28</v>
      </c>
      <c r="K109" s="12" t="s">
        <v>29</v>
      </c>
      <c r="L109" s="12" t="s">
        <v>2</v>
      </c>
      <c r="M109" s="12" t="s">
        <v>2</v>
      </c>
      <c r="N109" s="12" t="s">
        <v>103</v>
      </c>
      <c r="O109" s="12" t="s">
        <v>103</v>
      </c>
      <c r="P109" s="12" t="s">
        <v>101</v>
      </c>
      <c r="Q109" s="12" t="s">
        <v>118</v>
      </c>
      <c r="R109" s="12" t="s">
        <v>158</v>
      </c>
      <c r="S109" s="18">
        <f>_xlfn.XLOOKUP(R109,'Price Assumptions'!E:E,'Price Assumptions'!G:G)</f>
        <v>2.99</v>
      </c>
      <c r="T109" s="18">
        <f t="shared" si="1"/>
        <v>30060767.174597289</v>
      </c>
      <c r="U109" s="12" t="s">
        <v>30</v>
      </c>
      <c r="V109" s="12" t="s">
        <v>9</v>
      </c>
      <c r="W109" s="19">
        <v>10053768.285818491</v>
      </c>
    </row>
    <row r="110" spans="3:23" x14ac:dyDescent="0.3">
      <c r="C110" s="12">
        <v>2031</v>
      </c>
      <c r="D110" s="12" t="s">
        <v>55</v>
      </c>
      <c r="E110" s="12" t="s">
        <v>56</v>
      </c>
      <c r="F110" s="12" t="s">
        <v>33</v>
      </c>
      <c r="G110" s="12" t="s">
        <v>34</v>
      </c>
      <c r="H110" s="12" t="s">
        <v>26</v>
      </c>
      <c r="I110" s="12" t="s">
        <v>27</v>
      </c>
      <c r="J110" s="12" t="s">
        <v>28</v>
      </c>
      <c r="K110" s="12" t="s">
        <v>29</v>
      </c>
      <c r="L110" s="12" t="s">
        <v>2</v>
      </c>
      <c r="M110" s="12" t="s">
        <v>2</v>
      </c>
      <c r="N110" s="12" t="s">
        <v>107</v>
      </c>
      <c r="O110" s="12" t="s">
        <v>107</v>
      </c>
      <c r="P110" s="12" t="s">
        <v>108</v>
      </c>
      <c r="Q110" s="12" t="s">
        <v>118</v>
      </c>
      <c r="R110" s="12" t="s">
        <v>158</v>
      </c>
      <c r="S110" s="18">
        <f>_xlfn.XLOOKUP(R110,'Price Assumptions'!E:E,'Price Assumptions'!G:G)</f>
        <v>2.99</v>
      </c>
      <c r="T110" s="18">
        <f t="shared" si="1"/>
        <v>107419.11464011982</v>
      </c>
      <c r="U110" s="12" t="s">
        <v>30</v>
      </c>
      <c r="V110" s="12" t="s">
        <v>9</v>
      </c>
      <c r="W110" s="19">
        <v>35926.125297698934</v>
      </c>
    </row>
    <row r="111" spans="3:23" x14ac:dyDescent="0.3">
      <c r="C111" s="12">
        <v>2031</v>
      </c>
      <c r="D111" s="12" t="s">
        <v>65</v>
      </c>
      <c r="E111" s="12" t="s">
        <v>66</v>
      </c>
      <c r="F111" s="12" t="s">
        <v>33</v>
      </c>
      <c r="G111" s="12" t="s">
        <v>34</v>
      </c>
      <c r="H111" s="12" t="s">
        <v>26</v>
      </c>
      <c r="I111" s="12" t="s">
        <v>27</v>
      </c>
      <c r="J111" s="12" t="s">
        <v>28</v>
      </c>
      <c r="K111" s="12" t="s">
        <v>29</v>
      </c>
      <c r="L111" s="12" t="s">
        <v>2</v>
      </c>
      <c r="M111" s="12" t="s">
        <v>2</v>
      </c>
      <c r="N111" s="12" t="s">
        <v>104</v>
      </c>
      <c r="O111" s="12" t="s">
        <v>104</v>
      </c>
      <c r="P111" s="12" t="s">
        <v>100</v>
      </c>
      <c r="Q111" s="12" t="s">
        <v>100</v>
      </c>
      <c r="R111" s="12" t="s">
        <v>157</v>
      </c>
      <c r="S111" s="18">
        <f>_xlfn.XLOOKUP(R111,'Price Assumptions'!E:E,'Price Assumptions'!G:G)</f>
        <v>5</v>
      </c>
      <c r="T111" s="18">
        <f t="shared" si="1"/>
        <v>2394886.5927592749</v>
      </c>
      <c r="U111" s="12" t="s">
        <v>30</v>
      </c>
      <c r="V111" s="12" t="s">
        <v>9</v>
      </c>
      <c r="W111" s="19">
        <v>478977.31855185493</v>
      </c>
    </row>
    <row r="112" spans="3:23" x14ac:dyDescent="0.3">
      <c r="C112" s="12">
        <v>2031</v>
      </c>
      <c r="D112" s="12" t="s">
        <v>67</v>
      </c>
      <c r="E112" s="12" t="s">
        <v>68</v>
      </c>
      <c r="F112" s="12" t="s">
        <v>33</v>
      </c>
      <c r="G112" s="12" t="s">
        <v>34</v>
      </c>
      <c r="H112" s="12" t="s">
        <v>26</v>
      </c>
      <c r="I112" s="12" t="s">
        <v>27</v>
      </c>
      <c r="J112" s="12" t="s">
        <v>28</v>
      </c>
      <c r="K112" s="12" t="s">
        <v>29</v>
      </c>
      <c r="L112" s="12" t="s">
        <v>2</v>
      </c>
      <c r="M112" s="12" t="s">
        <v>2</v>
      </c>
      <c r="N112" s="12" t="s">
        <v>107</v>
      </c>
      <c r="O112" s="12" t="s">
        <v>107</v>
      </c>
      <c r="P112" s="12" t="s">
        <v>108</v>
      </c>
      <c r="Q112" s="12" t="s">
        <v>120</v>
      </c>
      <c r="R112" s="12" t="s">
        <v>159</v>
      </c>
      <c r="S112" s="18">
        <f>_xlfn.XLOOKUP(R112,'Price Assumptions'!E:E,'Price Assumptions'!G:G)</f>
        <v>2.99</v>
      </c>
      <c r="T112" s="18">
        <f t="shared" si="1"/>
        <v>443550.37088043406</v>
      </c>
      <c r="U112" s="12" t="s">
        <v>30</v>
      </c>
      <c r="V112" s="12" t="s">
        <v>9</v>
      </c>
      <c r="W112" s="19">
        <v>148344.6056456301</v>
      </c>
    </row>
    <row r="113" spans="3:23" x14ac:dyDescent="0.3">
      <c r="C113" s="12">
        <v>2031</v>
      </c>
      <c r="D113" s="12" t="s">
        <v>69</v>
      </c>
      <c r="E113" s="12" t="s">
        <v>70</v>
      </c>
      <c r="F113" s="12" t="s">
        <v>33</v>
      </c>
      <c r="G113" s="12" t="s">
        <v>34</v>
      </c>
      <c r="H113" s="12" t="s">
        <v>26</v>
      </c>
      <c r="I113" s="12" t="s">
        <v>27</v>
      </c>
      <c r="J113" s="12" t="s">
        <v>28</v>
      </c>
      <c r="K113" s="12" t="s">
        <v>29</v>
      </c>
      <c r="L113" s="12" t="s">
        <v>2</v>
      </c>
      <c r="M113" s="12" t="s">
        <v>2</v>
      </c>
      <c r="N113" s="12" t="s">
        <v>99</v>
      </c>
      <c r="O113" s="12" t="s">
        <v>99</v>
      </c>
      <c r="P113" s="12" t="s">
        <v>100</v>
      </c>
      <c r="Q113" s="12" t="s">
        <v>100</v>
      </c>
      <c r="R113" s="12" t="s">
        <v>157</v>
      </c>
      <c r="S113" s="18">
        <f>_xlfn.XLOOKUP(R113,'Price Assumptions'!E:E,'Price Assumptions'!G:G)</f>
        <v>5</v>
      </c>
      <c r="T113" s="18">
        <f t="shared" si="1"/>
        <v>8380245.4326214362</v>
      </c>
      <c r="U113" s="12" t="s">
        <v>30</v>
      </c>
      <c r="V113" s="12" t="s">
        <v>9</v>
      </c>
      <c r="W113" s="19">
        <v>1676049.0865242872</v>
      </c>
    </row>
    <row r="114" spans="3:23" x14ac:dyDescent="0.3">
      <c r="C114" s="12">
        <v>2031</v>
      </c>
      <c r="D114" s="12" t="s">
        <v>71</v>
      </c>
      <c r="E114" s="12" t="s">
        <v>72</v>
      </c>
      <c r="F114" s="12" t="s">
        <v>33</v>
      </c>
      <c r="G114" s="12" t="s">
        <v>34</v>
      </c>
      <c r="H114" s="12" t="s">
        <v>26</v>
      </c>
      <c r="I114" s="12" t="s">
        <v>27</v>
      </c>
      <c r="J114" s="12" t="s">
        <v>96</v>
      </c>
      <c r="K114" s="12" t="s">
        <v>29</v>
      </c>
      <c r="L114" s="12" t="s">
        <v>2</v>
      </c>
      <c r="M114" s="12" t="s">
        <v>2</v>
      </c>
      <c r="N114" s="12" t="s">
        <v>107</v>
      </c>
      <c r="O114" s="12" t="s">
        <v>107</v>
      </c>
      <c r="P114" s="12" t="s">
        <v>108</v>
      </c>
      <c r="Q114" s="12" t="s">
        <v>118</v>
      </c>
      <c r="R114" s="12" t="s">
        <v>158</v>
      </c>
      <c r="S114" s="18">
        <f>_xlfn.XLOOKUP(R114,'Price Assumptions'!E:E,'Price Assumptions'!G:G)</f>
        <v>2.99</v>
      </c>
      <c r="T114" s="18">
        <f t="shared" si="1"/>
        <v>4570222.7832743255</v>
      </c>
      <c r="U114" s="12" t="s">
        <v>30</v>
      </c>
      <c r="V114" s="12" t="s">
        <v>9</v>
      </c>
      <c r="W114" s="19">
        <v>1528502.6031017809</v>
      </c>
    </row>
    <row r="115" spans="3:23" x14ac:dyDescent="0.3">
      <c r="C115" s="12">
        <v>2031</v>
      </c>
      <c r="D115" s="12" t="s">
        <v>75</v>
      </c>
      <c r="E115" s="12" t="s">
        <v>76</v>
      </c>
      <c r="F115" s="12" t="s">
        <v>33</v>
      </c>
      <c r="G115" s="12" t="s">
        <v>34</v>
      </c>
      <c r="H115" s="12" t="s">
        <v>26</v>
      </c>
      <c r="I115" s="12" t="s">
        <v>27</v>
      </c>
      <c r="J115" s="12" t="s">
        <v>28</v>
      </c>
      <c r="K115" s="12" t="s">
        <v>29</v>
      </c>
      <c r="L115" s="12" t="s">
        <v>2</v>
      </c>
      <c r="M115" s="12" t="s">
        <v>2</v>
      </c>
      <c r="N115" s="12" t="s">
        <v>105</v>
      </c>
      <c r="O115" s="12" t="s">
        <v>105</v>
      </c>
      <c r="P115" s="12" t="s">
        <v>101</v>
      </c>
      <c r="Q115" s="12" t="s">
        <v>118</v>
      </c>
      <c r="R115" s="12" t="s">
        <v>158</v>
      </c>
      <c r="S115" s="18">
        <f>_xlfn.XLOOKUP(R115,'Price Assumptions'!E:E,'Price Assumptions'!G:G)</f>
        <v>2.99</v>
      </c>
      <c r="T115" s="18">
        <f t="shared" si="1"/>
        <v>7618826.926038078</v>
      </c>
      <c r="U115" s="12" t="s">
        <v>30</v>
      </c>
      <c r="V115" s="12" t="s">
        <v>9</v>
      </c>
      <c r="W115" s="19">
        <v>2548102.6508488553</v>
      </c>
    </row>
    <row r="116" spans="3:23" x14ac:dyDescent="0.3">
      <c r="C116" s="12">
        <v>2031</v>
      </c>
      <c r="D116" s="12" t="s">
        <v>77</v>
      </c>
      <c r="E116" s="12" t="s">
        <v>78</v>
      </c>
      <c r="F116" s="12" t="s">
        <v>33</v>
      </c>
      <c r="G116" s="12" t="s">
        <v>34</v>
      </c>
      <c r="H116" s="12" t="s">
        <v>26</v>
      </c>
      <c r="I116" s="12" t="s">
        <v>27</v>
      </c>
      <c r="J116" s="12" t="s">
        <v>28</v>
      </c>
      <c r="K116" s="12" t="s">
        <v>29</v>
      </c>
      <c r="L116" s="12" t="s">
        <v>2</v>
      </c>
      <c r="M116" s="12" t="s">
        <v>2</v>
      </c>
      <c r="N116" s="12" t="s">
        <v>105</v>
      </c>
      <c r="O116" s="12" t="s">
        <v>105</v>
      </c>
      <c r="P116" s="12" t="s">
        <v>100</v>
      </c>
      <c r="Q116" s="12" t="s">
        <v>100</v>
      </c>
      <c r="R116" s="12" t="s">
        <v>157</v>
      </c>
      <c r="S116" s="18">
        <f>_xlfn.XLOOKUP(R116,'Price Assumptions'!E:E,'Price Assumptions'!G:G)</f>
        <v>5</v>
      </c>
      <c r="T116" s="18">
        <f t="shared" si="1"/>
        <v>9960737.3584587779</v>
      </c>
      <c r="U116" s="12" t="s">
        <v>30</v>
      </c>
      <c r="V116" s="12" t="s">
        <v>9</v>
      </c>
      <c r="W116" s="19">
        <v>1992147.4716917556</v>
      </c>
    </row>
    <row r="117" spans="3:23" x14ac:dyDescent="0.3">
      <c r="C117" s="12">
        <v>2031</v>
      </c>
      <c r="D117" s="12" t="s">
        <v>81</v>
      </c>
      <c r="E117" s="12" t="s">
        <v>82</v>
      </c>
      <c r="F117" s="12" t="s">
        <v>33</v>
      </c>
      <c r="G117" s="12" t="s">
        <v>34</v>
      </c>
      <c r="H117" s="12" t="s">
        <v>26</v>
      </c>
      <c r="I117" s="12" t="s">
        <v>27</v>
      </c>
      <c r="J117" s="12" t="s">
        <v>28</v>
      </c>
      <c r="K117" s="12" t="s">
        <v>29</v>
      </c>
      <c r="L117" s="12" t="s">
        <v>2</v>
      </c>
      <c r="M117" s="12" t="s">
        <v>2</v>
      </c>
      <c r="N117" s="12" t="s">
        <v>106</v>
      </c>
      <c r="O117" s="12" t="s">
        <v>106</v>
      </c>
      <c r="P117" s="12" t="s">
        <v>100</v>
      </c>
      <c r="Q117" s="12" t="s">
        <v>100</v>
      </c>
      <c r="R117" s="12" t="s">
        <v>157</v>
      </c>
      <c r="S117" s="18">
        <f>_xlfn.XLOOKUP(R117,'Price Assumptions'!E:E,'Price Assumptions'!G:G)</f>
        <v>5</v>
      </c>
      <c r="T117" s="18">
        <f t="shared" si="1"/>
        <v>3542187.2908875011</v>
      </c>
      <c r="U117" s="12" t="s">
        <v>30</v>
      </c>
      <c r="V117" s="12" t="s">
        <v>9</v>
      </c>
      <c r="W117" s="19">
        <v>708437.45817750017</v>
      </c>
    </row>
    <row r="118" spans="3:23" x14ac:dyDescent="0.3">
      <c r="C118" s="12">
        <v>2031</v>
      </c>
      <c r="D118" s="12" t="s">
        <v>83</v>
      </c>
      <c r="E118" s="12" t="s">
        <v>84</v>
      </c>
      <c r="F118" s="12" t="s">
        <v>25</v>
      </c>
      <c r="G118" s="12" t="s">
        <v>34</v>
      </c>
      <c r="H118" s="12" t="s">
        <v>26</v>
      </c>
      <c r="I118" s="12" t="s">
        <v>27</v>
      </c>
      <c r="J118" s="12" t="s">
        <v>28</v>
      </c>
      <c r="K118" s="12" t="s">
        <v>29</v>
      </c>
      <c r="L118" s="12" t="s">
        <v>2</v>
      </c>
      <c r="M118" s="12" t="s">
        <v>2</v>
      </c>
      <c r="N118" s="12" t="s">
        <v>107</v>
      </c>
      <c r="O118" s="12" t="s">
        <v>107</v>
      </c>
      <c r="P118" s="12" t="s">
        <v>108</v>
      </c>
      <c r="Q118" s="12" t="s">
        <v>120</v>
      </c>
      <c r="R118" s="12" t="s">
        <v>159</v>
      </c>
      <c r="S118" s="18">
        <f>_xlfn.XLOOKUP(R118,'Price Assumptions'!E:E,'Price Assumptions'!G:G)</f>
        <v>2.99</v>
      </c>
      <c r="T118" s="18">
        <f t="shared" si="1"/>
        <v>1026496.5275374796</v>
      </c>
      <c r="U118" s="12" t="s">
        <v>30</v>
      </c>
      <c r="V118" s="12" t="s">
        <v>9</v>
      </c>
      <c r="W118" s="19">
        <v>343309.87543059519</v>
      </c>
    </row>
    <row r="119" spans="3:23" x14ac:dyDescent="0.3">
      <c r="C119" s="12">
        <v>2031</v>
      </c>
      <c r="D119" s="12" t="s">
        <v>85</v>
      </c>
      <c r="E119" s="12" t="s">
        <v>86</v>
      </c>
      <c r="F119" s="12" t="s">
        <v>25</v>
      </c>
      <c r="G119" s="12" t="s">
        <v>87</v>
      </c>
      <c r="H119" s="12" t="s">
        <v>26</v>
      </c>
      <c r="I119" s="12" t="s">
        <v>27</v>
      </c>
      <c r="J119" s="12" t="s">
        <v>28</v>
      </c>
      <c r="K119" s="12" t="s">
        <v>29</v>
      </c>
      <c r="L119" s="12" t="s">
        <v>2</v>
      </c>
      <c r="M119" s="12" t="s">
        <v>2</v>
      </c>
      <c r="N119" s="12" t="s">
        <v>103</v>
      </c>
      <c r="O119" s="12" t="s">
        <v>103</v>
      </c>
      <c r="P119" s="12" t="s">
        <v>101</v>
      </c>
      <c r="Q119" s="12" t="s">
        <v>118</v>
      </c>
      <c r="R119" s="12" t="s">
        <v>158</v>
      </c>
      <c r="S119" s="18">
        <f>_xlfn.XLOOKUP(R119,'Price Assumptions'!E:E,'Price Assumptions'!G:G)</f>
        <v>2.99</v>
      </c>
      <c r="T119" s="18">
        <f t="shared" si="1"/>
        <v>6649333.7012905637</v>
      </c>
      <c r="U119" s="12" t="s">
        <v>30</v>
      </c>
      <c r="V119" s="12" t="s">
        <v>9</v>
      </c>
      <c r="W119" s="19">
        <v>2223857.4251807905</v>
      </c>
    </row>
    <row r="120" spans="3:23" x14ac:dyDescent="0.3">
      <c r="C120" s="12">
        <v>2032</v>
      </c>
      <c r="D120" s="12" t="s">
        <v>39</v>
      </c>
      <c r="E120" s="12" t="s">
        <v>40</v>
      </c>
      <c r="F120" s="12" t="s">
        <v>33</v>
      </c>
      <c r="G120" s="12" t="s">
        <v>34</v>
      </c>
      <c r="H120" s="12" t="s">
        <v>26</v>
      </c>
      <c r="I120" s="12" t="s">
        <v>27</v>
      </c>
      <c r="J120" s="12" t="s">
        <v>28</v>
      </c>
      <c r="K120" s="12" t="s">
        <v>29</v>
      </c>
      <c r="L120" s="12" t="s">
        <v>2</v>
      </c>
      <c r="M120" s="12" t="s">
        <v>2</v>
      </c>
      <c r="N120" s="12" t="s">
        <v>107</v>
      </c>
      <c r="O120" s="12" t="s">
        <v>107</v>
      </c>
      <c r="P120" s="12" t="s">
        <v>108</v>
      </c>
      <c r="Q120" s="12" t="s">
        <v>100</v>
      </c>
      <c r="R120" s="12" t="s">
        <v>160</v>
      </c>
      <c r="S120" s="18">
        <f>_xlfn.XLOOKUP(R120,'Price Assumptions'!E:E,'Price Assumptions'!G:G)</f>
        <v>5</v>
      </c>
      <c r="T120" s="18">
        <f t="shared" si="1"/>
        <v>3584850.5228425805</v>
      </c>
      <c r="U120" s="12" t="s">
        <v>30</v>
      </c>
      <c r="V120" s="12" t="s">
        <v>9</v>
      </c>
      <c r="W120" s="19">
        <v>716970.10456851614</v>
      </c>
    </row>
    <row r="121" spans="3:23" x14ac:dyDescent="0.3">
      <c r="C121" s="12">
        <v>2032</v>
      </c>
      <c r="D121" s="12" t="s">
        <v>43</v>
      </c>
      <c r="E121" s="12" t="s">
        <v>44</v>
      </c>
      <c r="F121" s="12" t="s">
        <v>33</v>
      </c>
      <c r="G121" s="12" t="s">
        <v>34</v>
      </c>
      <c r="H121" s="12" t="s">
        <v>26</v>
      </c>
      <c r="I121" s="12" t="s">
        <v>27</v>
      </c>
      <c r="J121" s="12" t="s">
        <v>28</v>
      </c>
      <c r="K121" s="12" t="s">
        <v>29</v>
      </c>
      <c r="L121" s="12" t="s">
        <v>2</v>
      </c>
      <c r="M121" s="12" t="s">
        <v>2</v>
      </c>
      <c r="N121" s="12" t="s">
        <v>99</v>
      </c>
      <c r="O121" s="12" t="s">
        <v>99</v>
      </c>
      <c r="P121" s="12" t="s">
        <v>101</v>
      </c>
      <c r="Q121" s="12" t="s">
        <v>118</v>
      </c>
      <c r="R121" s="12" t="s">
        <v>161</v>
      </c>
      <c r="S121" s="18">
        <f>_xlfn.XLOOKUP(R121,'Price Assumptions'!E:E,'Price Assumptions'!G:G)</f>
        <v>2.99</v>
      </c>
      <c r="T121" s="18">
        <f t="shared" si="1"/>
        <v>1747037.9033209926</v>
      </c>
      <c r="U121" s="12" t="s">
        <v>30</v>
      </c>
      <c r="V121" s="12" t="s">
        <v>9</v>
      </c>
      <c r="W121" s="19">
        <v>584293.61315083364</v>
      </c>
    </row>
    <row r="122" spans="3:23" x14ac:dyDescent="0.3">
      <c r="C122" s="12">
        <v>2032</v>
      </c>
      <c r="D122" s="12" t="s">
        <v>45</v>
      </c>
      <c r="E122" s="12" t="s">
        <v>46</v>
      </c>
      <c r="F122" s="12" t="s">
        <v>33</v>
      </c>
      <c r="G122" s="12" t="s">
        <v>34</v>
      </c>
      <c r="H122" s="12" t="s">
        <v>26</v>
      </c>
      <c r="I122" s="12" t="s">
        <v>27</v>
      </c>
      <c r="J122" s="12" t="s">
        <v>28</v>
      </c>
      <c r="K122" s="12" t="s">
        <v>29</v>
      </c>
      <c r="L122" s="12" t="s">
        <v>2</v>
      </c>
      <c r="M122" s="12" t="s">
        <v>2</v>
      </c>
      <c r="N122" s="12" t="s">
        <v>102</v>
      </c>
      <c r="O122" s="12" t="s">
        <v>102</v>
      </c>
      <c r="P122" s="12" t="s">
        <v>101</v>
      </c>
      <c r="Q122" s="12" t="s">
        <v>118</v>
      </c>
      <c r="R122" s="12" t="s">
        <v>161</v>
      </c>
      <c r="S122" s="18">
        <f>_xlfn.XLOOKUP(R122,'Price Assumptions'!E:E,'Price Assumptions'!G:G)</f>
        <v>2.99</v>
      </c>
      <c r="T122" s="18">
        <f t="shared" si="1"/>
        <v>3302162.3004476223</v>
      </c>
      <c r="U122" s="12" t="s">
        <v>30</v>
      </c>
      <c r="V122" s="12" t="s">
        <v>9</v>
      </c>
      <c r="W122" s="19">
        <v>1104402.1071731178</v>
      </c>
    </row>
    <row r="123" spans="3:23" x14ac:dyDescent="0.3">
      <c r="C123" s="12">
        <v>2032</v>
      </c>
      <c r="D123" s="12" t="s">
        <v>51</v>
      </c>
      <c r="E123" s="12" t="s">
        <v>52</v>
      </c>
      <c r="F123" s="12" t="s">
        <v>33</v>
      </c>
      <c r="G123" s="12" t="s">
        <v>34</v>
      </c>
      <c r="H123" s="12" t="s">
        <v>26</v>
      </c>
      <c r="I123" s="12" t="s">
        <v>27</v>
      </c>
      <c r="J123" s="12" t="s">
        <v>28</v>
      </c>
      <c r="K123" s="12" t="s">
        <v>29</v>
      </c>
      <c r="L123" s="12" t="s">
        <v>2</v>
      </c>
      <c r="M123" s="12" t="s">
        <v>2</v>
      </c>
      <c r="N123" s="12" t="s">
        <v>103</v>
      </c>
      <c r="O123" s="12" t="s">
        <v>103</v>
      </c>
      <c r="P123" s="12" t="s">
        <v>101</v>
      </c>
      <c r="Q123" s="12" t="s">
        <v>118</v>
      </c>
      <c r="R123" s="12" t="s">
        <v>161</v>
      </c>
      <c r="S123" s="18">
        <f>_xlfn.XLOOKUP(R123,'Price Assumptions'!E:E,'Price Assumptions'!G:G)</f>
        <v>2.99</v>
      </c>
      <c r="T123" s="18">
        <f t="shared" si="1"/>
        <v>30885433.868707996</v>
      </c>
      <c r="U123" s="12" t="s">
        <v>30</v>
      </c>
      <c r="V123" s="12" t="s">
        <v>9</v>
      </c>
      <c r="W123" s="19">
        <v>10329576.544718392</v>
      </c>
    </row>
    <row r="124" spans="3:23" x14ac:dyDescent="0.3">
      <c r="C124" s="12">
        <v>2032</v>
      </c>
      <c r="D124" s="12" t="s">
        <v>55</v>
      </c>
      <c r="E124" s="12" t="s">
        <v>56</v>
      </c>
      <c r="F124" s="12" t="s">
        <v>33</v>
      </c>
      <c r="G124" s="12" t="s">
        <v>34</v>
      </c>
      <c r="H124" s="12" t="s">
        <v>26</v>
      </c>
      <c r="I124" s="12" t="s">
        <v>27</v>
      </c>
      <c r="J124" s="12" t="s">
        <v>28</v>
      </c>
      <c r="K124" s="12" t="s">
        <v>29</v>
      </c>
      <c r="L124" s="12" t="s">
        <v>2</v>
      </c>
      <c r="M124" s="12" t="s">
        <v>2</v>
      </c>
      <c r="N124" s="12" t="s">
        <v>107</v>
      </c>
      <c r="O124" s="12" t="s">
        <v>107</v>
      </c>
      <c r="P124" s="12" t="s">
        <v>108</v>
      </c>
      <c r="Q124" s="12" t="s">
        <v>118</v>
      </c>
      <c r="R124" s="12" t="s">
        <v>161</v>
      </c>
      <c r="S124" s="18">
        <f>_xlfn.XLOOKUP(R124,'Price Assumptions'!E:E,'Price Assumptions'!G:G)</f>
        <v>2.99</v>
      </c>
      <c r="T124" s="18">
        <f t="shared" si="1"/>
        <v>108856.13094346218</v>
      </c>
      <c r="U124" s="12" t="s">
        <v>30</v>
      </c>
      <c r="V124" s="12" t="s">
        <v>9</v>
      </c>
      <c r="W124" s="19">
        <v>36406.732757010759</v>
      </c>
    </row>
    <row r="125" spans="3:23" x14ac:dyDescent="0.3">
      <c r="C125" s="12">
        <v>2032</v>
      </c>
      <c r="D125" s="12" t="s">
        <v>65</v>
      </c>
      <c r="E125" s="12" t="s">
        <v>66</v>
      </c>
      <c r="F125" s="12" t="s">
        <v>33</v>
      </c>
      <c r="G125" s="12" t="s">
        <v>34</v>
      </c>
      <c r="H125" s="12" t="s">
        <v>26</v>
      </c>
      <c r="I125" s="12" t="s">
        <v>27</v>
      </c>
      <c r="J125" s="12" t="s">
        <v>28</v>
      </c>
      <c r="K125" s="12" t="s">
        <v>29</v>
      </c>
      <c r="L125" s="12" t="s">
        <v>2</v>
      </c>
      <c r="M125" s="12" t="s">
        <v>2</v>
      </c>
      <c r="N125" s="12" t="s">
        <v>104</v>
      </c>
      <c r="O125" s="12" t="s">
        <v>104</v>
      </c>
      <c r="P125" s="12" t="s">
        <v>100</v>
      </c>
      <c r="Q125" s="12" t="s">
        <v>100</v>
      </c>
      <c r="R125" s="12" t="s">
        <v>160</v>
      </c>
      <c r="S125" s="18">
        <f>_xlfn.XLOOKUP(R125,'Price Assumptions'!E:E,'Price Assumptions'!G:G)</f>
        <v>5</v>
      </c>
      <c r="T125" s="18">
        <f t="shared" si="1"/>
        <v>2405235.8596209683</v>
      </c>
      <c r="U125" s="12" t="s">
        <v>30</v>
      </c>
      <c r="V125" s="12" t="s">
        <v>9</v>
      </c>
      <c r="W125" s="19">
        <v>481047.17192419368</v>
      </c>
    </row>
    <row r="126" spans="3:23" x14ac:dyDescent="0.3">
      <c r="C126" s="12">
        <v>2032</v>
      </c>
      <c r="D126" s="12" t="s">
        <v>67</v>
      </c>
      <c r="E126" s="12" t="s">
        <v>68</v>
      </c>
      <c r="F126" s="12" t="s">
        <v>33</v>
      </c>
      <c r="G126" s="12" t="s">
        <v>34</v>
      </c>
      <c r="H126" s="12" t="s">
        <v>26</v>
      </c>
      <c r="I126" s="12" t="s">
        <v>27</v>
      </c>
      <c r="J126" s="12" t="s">
        <v>28</v>
      </c>
      <c r="K126" s="12" t="s">
        <v>29</v>
      </c>
      <c r="L126" s="12" t="s">
        <v>2</v>
      </c>
      <c r="M126" s="12" t="s">
        <v>2</v>
      </c>
      <c r="N126" s="12" t="s">
        <v>107</v>
      </c>
      <c r="O126" s="12" t="s">
        <v>107</v>
      </c>
      <c r="P126" s="12" t="s">
        <v>108</v>
      </c>
      <c r="Q126" s="12" t="s">
        <v>120</v>
      </c>
      <c r="R126" s="12" t="s">
        <v>162</v>
      </c>
      <c r="S126" s="18">
        <f>_xlfn.XLOOKUP(R126,'Price Assumptions'!E:E,'Price Assumptions'!G:G)</f>
        <v>2.99</v>
      </c>
      <c r="T126" s="18">
        <f t="shared" si="1"/>
        <v>453280.43600190681</v>
      </c>
      <c r="U126" s="12" t="s">
        <v>30</v>
      </c>
      <c r="V126" s="12" t="s">
        <v>9</v>
      </c>
      <c r="W126" s="19">
        <v>151598.80802739356</v>
      </c>
    </row>
    <row r="127" spans="3:23" x14ac:dyDescent="0.3">
      <c r="C127" s="12">
        <v>2032</v>
      </c>
      <c r="D127" s="12" t="s">
        <v>69</v>
      </c>
      <c r="E127" s="12" t="s">
        <v>70</v>
      </c>
      <c r="F127" s="12" t="s">
        <v>33</v>
      </c>
      <c r="G127" s="12" t="s">
        <v>34</v>
      </c>
      <c r="H127" s="12" t="s">
        <v>26</v>
      </c>
      <c r="I127" s="12" t="s">
        <v>27</v>
      </c>
      <c r="J127" s="12" t="s">
        <v>28</v>
      </c>
      <c r="K127" s="12" t="s">
        <v>29</v>
      </c>
      <c r="L127" s="12" t="s">
        <v>2</v>
      </c>
      <c r="M127" s="12" t="s">
        <v>2</v>
      </c>
      <c r="N127" s="12" t="s">
        <v>99</v>
      </c>
      <c r="O127" s="12" t="s">
        <v>99</v>
      </c>
      <c r="P127" s="12" t="s">
        <v>100</v>
      </c>
      <c r="Q127" s="12" t="s">
        <v>100</v>
      </c>
      <c r="R127" s="12" t="s">
        <v>160</v>
      </c>
      <c r="S127" s="18">
        <f>_xlfn.XLOOKUP(R127,'Price Assumptions'!E:E,'Price Assumptions'!G:G)</f>
        <v>5</v>
      </c>
      <c r="T127" s="18">
        <f t="shared" si="1"/>
        <v>8540880.019373145</v>
      </c>
      <c r="U127" s="12" t="s">
        <v>30</v>
      </c>
      <c r="V127" s="12" t="s">
        <v>9</v>
      </c>
      <c r="W127" s="19">
        <v>1708176.0038746288</v>
      </c>
    </row>
    <row r="128" spans="3:23" x14ac:dyDescent="0.3">
      <c r="C128" s="12">
        <v>2032</v>
      </c>
      <c r="D128" s="12" t="s">
        <v>71</v>
      </c>
      <c r="E128" s="12" t="s">
        <v>72</v>
      </c>
      <c r="F128" s="12" t="s">
        <v>33</v>
      </c>
      <c r="G128" s="12" t="s">
        <v>34</v>
      </c>
      <c r="H128" s="12" t="s">
        <v>26</v>
      </c>
      <c r="I128" s="12" t="s">
        <v>27</v>
      </c>
      <c r="J128" s="12" t="s">
        <v>96</v>
      </c>
      <c r="K128" s="12" t="s">
        <v>29</v>
      </c>
      <c r="L128" s="12" t="s">
        <v>2</v>
      </c>
      <c r="M128" s="12" t="s">
        <v>2</v>
      </c>
      <c r="N128" s="12" t="s">
        <v>107</v>
      </c>
      <c r="O128" s="12" t="s">
        <v>107</v>
      </c>
      <c r="P128" s="12" t="s">
        <v>108</v>
      </c>
      <c r="Q128" s="12" t="s">
        <v>118</v>
      </c>
      <c r="R128" s="12" t="s">
        <v>161</v>
      </c>
      <c r="S128" s="18">
        <f>_xlfn.XLOOKUP(R128,'Price Assumptions'!E:E,'Price Assumptions'!G:G)</f>
        <v>2.99</v>
      </c>
      <c r="T128" s="18">
        <f t="shared" si="1"/>
        <v>4704128.0658183191</v>
      </c>
      <c r="U128" s="12" t="s">
        <v>30</v>
      </c>
      <c r="V128" s="12" t="s">
        <v>9</v>
      </c>
      <c r="W128" s="19">
        <v>1573286.9785345548</v>
      </c>
    </row>
    <row r="129" spans="3:23" x14ac:dyDescent="0.3">
      <c r="C129" s="12">
        <v>2032</v>
      </c>
      <c r="D129" s="12" t="s">
        <v>75</v>
      </c>
      <c r="E129" s="12" t="s">
        <v>76</v>
      </c>
      <c r="F129" s="12" t="s">
        <v>33</v>
      </c>
      <c r="G129" s="12" t="s">
        <v>34</v>
      </c>
      <c r="H129" s="12" t="s">
        <v>26</v>
      </c>
      <c r="I129" s="12" t="s">
        <v>27</v>
      </c>
      <c r="J129" s="12" t="s">
        <v>28</v>
      </c>
      <c r="K129" s="12" t="s">
        <v>29</v>
      </c>
      <c r="L129" s="12" t="s">
        <v>2</v>
      </c>
      <c r="M129" s="12" t="s">
        <v>2</v>
      </c>
      <c r="N129" s="12" t="s">
        <v>105</v>
      </c>
      <c r="O129" s="12" t="s">
        <v>105</v>
      </c>
      <c r="P129" s="12" t="s">
        <v>101</v>
      </c>
      <c r="Q129" s="12" t="s">
        <v>118</v>
      </c>
      <c r="R129" s="12" t="s">
        <v>161</v>
      </c>
      <c r="S129" s="18">
        <f>_xlfn.XLOOKUP(R129,'Price Assumptions'!E:E,'Price Assumptions'!G:G)</f>
        <v>2.99</v>
      </c>
      <c r="T129" s="18">
        <f t="shared" si="1"/>
        <v>7796086.1598018222</v>
      </c>
      <c r="U129" s="12" t="s">
        <v>30</v>
      </c>
      <c r="V129" s="12" t="s">
        <v>9</v>
      </c>
      <c r="W129" s="19">
        <v>2607386.675519004</v>
      </c>
    </row>
    <row r="130" spans="3:23" x14ac:dyDescent="0.3">
      <c r="C130" s="12">
        <v>2032</v>
      </c>
      <c r="D130" s="12" t="s">
        <v>77</v>
      </c>
      <c r="E130" s="12" t="s">
        <v>78</v>
      </c>
      <c r="F130" s="12" t="s">
        <v>33</v>
      </c>
      <c r="G130" s="12" t="s">
        <v>34</v>
      </c>
      <c r="H130" s="12" t="s">
        <v>26</v>
      </c>
      <c r="I130" s="12" t="s">
        <v>27</v>
      </c>
      <c r="J130" s="12" t="s">
        <v>28</v>
      </c>
      <c r="K130" s="12" t="s">
        <v>29</v>
      </c>
      <c r="L130" s="12" t="s">
        <v>2</v>
      </c>
      <c r="M130" s="12" t="s">
        <v>2</v>
      </c>
      <c r="N130" s="12" t="s">
        <v>105</v>
      </c>
      <c r="O130" s="12" t="s">
        <v>105</v>
      </c>
      <c r="P130" s="12" t="s">
        <v>100</v>
      </c>
      <c r="Q130" s="12" t="s">
        <v>100</v>
      </c>
      <c r="R130" s="12" t="s">
        <v>160</v>
      </c>
      <c r="S130" s="18">
        <f>_xlfn.XLOOKUP(R130,'Price Assumptions'!E:E,'Price Assumptions'!G:G)</f>
        <v>5</v>
      </c>
      <c r="T130" s="18">
        <f t="shared" si="1"/>
        <v>10174463.093806593</v>
      </c>
      <c r="U130" s="12" t="s">
        <v>30</v>
      </c>
      <c r="V130" s="12" t="s">
        <v>9</v>
      </c>
      <c r="W130" s="19">
        <v>2034892.6187613185</v>
      </c>
    </row>
    <row r="131" spans="3:23" x14ac:dyDescent="0.3">
      <c r="C131" s="12">
        <v>2032</v>
      </c>
      <c r="D131" s="12" t="s">
        <v>81</v>
      </c>
      <c r="E131" s="12" t="s">
        <v>82</v>
      </c>
      <c r="F131" s="12" t="s">
        <v>33</v>
      </c>
      <c r="G131" s="12" t="s">
        <v>34</v>
      </c>
      <c r="H131" s="12" t="s">
        <v>26</v>
      </c>
      <c r="I131" s="12" t="s">
        <v>27</v>
      </c>
      <c r="J131" s="12" t="s">
        <v>28</v>
      </c>
      <c r="K131" s="12" t="s">
        <v>29</v>
      </c>
      <c r="L131" s="12" t="s">
        <v>2</v>
      </c>
      <c r="M131" s="12" t="s">
        <v>2</v>
      </c>
      <c r="N131" s="12" t="s">
        <v>106</v>
      </c>
      <c r="O131" s="12" t="s">
        <v>106</v>
      </c>
      <c r="P131" s="12" t="s">
        <v>100</v>
      </c>
      <c r="Q131" s="12" t="s">
        <v>100</v>
      </c>
      <c r="R131" s="12" t="s">
        <v>160</v>
      </c>
      <c r="S131" s="18">
        <f>_xlfn.XLOOKUP(R131,'Price Assumptions'!E:E,'Price Assumptions'!G:G)</f>
        <v>5</v>
      </c>
      <c r="T131" s="18">
        <f t="shared" si="1"/>
        <v>3555835.7993250005</v>
      </c>
      <c r="U131" s="12" t="s">
        <v>30</v>
      </c>
      <c r="V131" s="12" t="s">
        <v>9</v>
      </c>
      <c r="W131" s="19">
        <v>711167.15986500005</v>
      </c>
    </row>
    <row r="132" spans="3:23" x14ac:dyDescent="0.3">
      <c r="C132" s="12">
        <v>2032</v>
      </c>
      <c r="D132" s="12" t="s">
        <v>83</v>
      </c>
      <c r="E132" s="12" t="s">
        <v>84</v>
      </c>
      <c r="F132" s="12" t="s">
        <v>25</v>
      </c>
      <c r="G132" s="12" t="s">
        <v>34</v>
      </c>
      <c r="H132" s="12" t="s">
        <v>26</v>
      </c>
      <c r="I132" s="12" t="s">
        <v>27</v>
      </c>
      <c r="J132" s="12" t="s">
        <v>28</v>
      </c>
      <c r="K132" s="12" t="s">
        <v>29</v>
      </c>
      <c r="L132" s="12" t="s">
        <v>2</v>
      </c>
      <c r="M132" s="12" t="s">
        <v>2</v>
      </c>
      <c r="N132" s="12" t="s">
        <v>107</v>
      </c>
      <c r="O132" s="12" t="s">
        <v>107</v>
      </c>
      <c r="P132" s="12" t="s">
        <v>108</v>
      </c>
      <c r="Q132" s="12" t="s">
        <v>120</v>
      </c>
      <c r="R132" s="12" t="s">
        <v>162</v>
      </c>
      <c r="S132" s="18">
        <f>_xlfn.XLOOKUP(R132,'Price Assumptions'!E:E,'Price Assumptions'!G:G)</f>
        <v>2.99</v>
      </c>
      <c r="T132" s="18">
        <f t="shared" si="1"/>
        <v>1047781.899263696</v>
      </c>
      <c r="U132" s="12" t="s">
        <v>30</v>
      </c>
      <c r="V132" s="12" t="s">
        <v>9</v>
      </c>
      <c r="W132" s="19">
        <v>350428.72885073442</v>
      </c>
    </row>
    <row r="133" spans="3:23" x14ac:dyDescent="0.3">
      <c r="C133" s="12">
        <v>2032</v>
      </c>
      <c r="D133" s="12" t="s">
        <v>85</v>
      </c>
      <c r="E133" s="12" t="s">
        <v>86</v>
      </c>
      <c r="F133" s="12" t="s">
        <v>25</v>
      </c>
      <c r="G133" s="12" t="s">
        <v>87</v>
      </c>
      <c r="H133" s="12" t="s">
        <v>26</v>
      </c>
      <c r="I133" s="12" t="s">
        <v>27</v>
      </c>
      <c r="J133" s="12" t="s">
        <v>28</v>
      </c>
      <c r="K133" s="12" t="s">
        <v>29</v>
      </c>
      <c r="L133" s="12" t="s">
        <v>2</v>
      </c>
      <c r="M133" s="12" t="s">
        <v>2</v>
      </c>
      <c r="N133" s="12" t="s">
        <v>103</v>
      </c>
      <c r="O133" s="12" t="s">
        <v>103</v>
      </c>
      <c r="P133" s="12" t="s">
        <v>101</v>
      </c>
      <c r="Q133" s="12" t="s">
        <v>118</v>
      </c>
      <c r="R133" s="12" t="s">
        <v>161</v>
      </c>
      <c r="S133" s="18">
        <f>_xlfn.XLOOKUP(R133,'Price Assumptions'!E:E,'Price Assumptions'!G:G)</f>
        <v>2.99</v>
      </c>
      <c r="T133" s="18">
        <f t="shared" si="1"/>
        <v>6777361.0663488545</v>
      </c>
      <c r="U133" s="12" t="s">
        <v>30</v>
      </c>
      <c r="V133" s="12" t="s">
        <v>9</v>
      </c>
      <c r="W133" s="19">
        <v>2266675.9419226935</v>
      </c>
    </row>
    <row r="134" spans="3:23" x14ac:dyDescent="0.3">
      <c r="C134" s="12">
        <v>2033</v>
      </c>
      <c r="D134" s="12" t="s">
        <v>39</v>
      </c>
      <c r="E134" s="12" t="s">
        <v>40</v>
      </c>
      <c r="F134" s="12" t="s">
        <v>33</v>
      </c>
      <c r="G134" s="12" t="s">
        <v>34</v>
      </c>
      <c r="H134" s="12" t="s">
        <v>26</v>
      </c>
      <c r="I134" s="12" t="s">
        <v>27</v>
      </c>
      <c r="J134" s="12" t="s">
        <v>28</v>
      </c>
      <c r="K134" s="12" t="s">
        <v>29</v>
      </c>
      <c r="L134" s="12" t="s">
        <v>2</v>
      </c>
      <c r="M134" s="12" t="s">
        <v>2</v>
      </c>
      <c r="N134" s="12" t="s">
        <v>107</v>
      </c>
      <c r="O134" s="12" t="s">
        <v>107</v>
      </c>
      <c r="P134" s="12" t="s">
        <v>108</v>
      </c>
      <c r="Q134" s="12" t="s">
        <v>100</v>
      </c>
      <c r="R134" s="12" t="s">
        <v>163</v>
      </c>
      <c r="S134" s="18">
        <f>_xlfn.XLOOKUP(R134,'Price Assumptions'!E:E,'Price Assumptions'!G:G)</f>
        <v>5</v>
      </c>
      <c r="T134" s="18">
        <f t="shared" ref="T134:T197" si="2">S134*W134</f>
        <v>3689686.1476616119</v>
      </c>
      <c r="U134" s="12" t="s">
        <v>30</v>
      </c>
      <c r="V134" s="12" t="s">
        <v>9</v>
      </c>
      <c r="W134" s="19">
        <v>737937.22953232238</v>
      </c>
    </row>
    <row r="135" spans="3:23" x14ac:dyDescent="0.3">
      <c r="C135" s="12">
        <v>2033</v>
      </c>
      <c r="D135" s="12" t="s">
        <v>43</v>
      </c>
      <c r="E135" s="12" t="s">
        <v>44</v>
      </c>
      <c r="F135" s="12" t="s">
        <v>33</v>
      </c>
      <c r="G135" s="12" t="s">
        <v>34</v>
      </c>
      <c r="H135" s="12" t="s">
        <v>26</v>
      </c>
      <c r="I135" s="12" t="s">
        <v>27</v>
      </c>
      <c r="J135" s="12" t="s">
        <v>28</v>
      </c>
      <c r="K135" s="12" t="s">
        <v>29</v>
      </c>
      <c r="L135" s="12" t="s">
        <v>2</v>
      </c>
      <c r="M135" s="12" t="s">
        <v>2</v>
      </c>
      <c r="N135" s="12" t="s">
        <v>99</v>
      </c>
      <c r="O135" s="12" t="s">
        <v>99</v>
      </c>
      <c r="P135" s="12" t="s">
        <v>101</v>
      </c>
      <c r="Q135" s="12" t="s">
        <v>118</v>
      </c>
      <c r="R135" s="12" t="s">
        <v>164</v>
      </c>
      <c r="S135" s="18">
        <f>_xlfn.XLOOKUP(R135,'Price Assumptions'!E:E,'Price Assumptions'!G:G)</f>
        <v>2.99</v>
      </c>
      <c r="T135" s="18">
        <f t="shared" si="2"/>
        <v>1805521.1001050447</v>
      </c>
      <c r="U135" s="12" t="s">
        <v>30</v>
      </c>
      <c r="V135" s="12" t="s">
        <v>9</v>
      </c>
      <c r="W135" s="19">
        <v>603853.2107374731</v>
      </c>
    </row>
    <row r="136" spans="3:23" x14ac:dyDescent="0.3">
      <c r="C136" s="12">
        <v>2033</v>
      </c>
      <c r="D136" s="12" t="s">
        <v>45</v>
      </c>
      <c r="E136" s="12" t="s">
        <v>46</v>
      </c>
      <c r="F136" s="12" t="s">
        <v>33</v>
      </c>
      <c r="G136" s="12" t="s">
        <v>34</v>
      </c>
      <c r="H136" s="12" t="s">
        <v>26</v>
      </c>
      <c r="I136" s="12" t="s">
        <v>27</v>
      </c>
      <c r="J136" s="12" t="s">
        <v>28</v>
      </c>
      <c r="K136" s="12" t="s">
        <v>29</v>
      </c>
      <c r="L136" s="12" t="s">
        <v>2</v>
      </c>
      <c r="M136" s="12" t="s">
        <v>2</v>
      </c>
      <c r="N136" s="12" t="s">
        <v>102</v>
      </c>
      <c r="O136" s="12" t="s">
        <v>102</v>
      </c>
      <c r="P136" s="12" t="s">
        <v>101</v>
      </c>
      <c r="Q136" s="12" t="s">
        <v>118</v>
      </c>
      <c r="R136" s="12" t="s">
        <v>164</v>
      </c>
      <c r="S136" s="18">
        <f>_xlfn.XLOOKUP(R136,'Price Assumptions'!E:E,'Price Assumptions'!G:G)</f>
        <v>2.99</v>
      </c>
      <c r="T136" s="18">
        <f t="shared" si="2"/>
        <v>3377222.9524295856</v>
      </c>
      <c r="U136" s="12" t="s">
        <v>30</v>
      </c>
      <c r="V136" s="12" t="s">
        <v>9</v>
      </c>
      <c r="W136" s="19">
        <v>1129506.0041570519</v>
      </c>
    </row>
    <row r="137" spans="3:23" x14ac:dyDescent="0.3">
      <c r="C137" s="12">
        <v>2033</v>
      </c>
      <c r="D137" s="12" t="s">
        <v>51</v>
      </c>
      <c r="E137" s="12" t="s">
        <v>52</v>
      </c>
      <c r="F137" s="12" t="s">
        <v>33</v>
      </c>
      <c r="G137" s="12" t="s">
        <v>34</v>
      </c>
      <c r="H137" s="12" t="s">
        <v>26</v>
      </c>
      <c r="I137" s="12" t="s">
        <v>27</v>
      </c>
      <c r="J137" s="12" t="s">
        <v>28</v>
      </c>
      <c r="K137" s="12" t="s">
        <v>29</v>
      </c>
      <c r="L137" s="12" t="s">
        <v>2</v>
      </c>
      <c r="M137" s="12" t="s">
        <v>2</v>
      </c>
      <c r="N137" s="12" t="s">
        <v>103</v>
      </c>
      <c r="O137" s="12" t="s">
        <v>103</v>
      </c>
      <c r="P137" s="12" t="s">
        <v>101</v>
      </c>
      <c r="Q137" s="12" t="s">
        <v>118</v>
      </c>
      <c r="R137" s="12" t="s">
        <v>164</v>
      </c>
      <c r="S137" s="18">
        <f>_xlfn.XLOOKUP(R137,'Price Assumptions'!E:E,'Price Assumptions'!G:G)</f>
        <v>2.99</v>
      </c>
      <c r="T137" s="18">
        <f t="shared" si="2"/>
        <v>31705107.351877883</v>
      </c>
      <c r="U137" s="12" t="s">
        <v>30</v>
      </c>
      <c r="V137" s="12" t="s">
        <v>9</v>
      </c>
      <c r="W137" s="19">
        <v>10603714.833403973</v>
      </c>
    </row>
    <row r="138" spans="3:23" x14ac:dyDescent="0.3">
      <c r="C138" s="12">
        <v>2033</v>
      </c>
      <c r="D138" s="12" t="s">
        <v>55</v>
      </c>
      <c r="E138" s="12" t="s">
        <v>56</v>
      </c>
      <c r="F138" s="12" t="s">
        <v>33</v>
      </c>
      <c r="G138" s="12" t="s">
        <v>34</v>
      </c>
      <c r="H138" s="12" t="s">
        <v>26</v>
      </c>
      <c r="I138" s="12" t="s">
        <v>27</v>
      </c>
      <c r="J138" s="12" t="s">
        <v>28</v>
      </c>
      <c r="K138" s="12" t="s">
        <v>29</v>
      </c>
      <c r="L138" s="12" t="s">
        <v>2</v>
      </c>
      <c r="M138" s="12" t="s">
        <v>2</v>
      </c>
      <c r="N138" s="12" t="s">
        <v>107</v>
      </c>
      <c r="O138" s="12" t="s">
        <v>107</v>
      </c>
      <c r="P138" s="12" t="s">
        <v>108</v>
      </c>
      <c r="Q138" s="12" t="s">
        <v>118</v>
      </c>
      <c r="R138" s="12" t="s">
        <v>164</v>
      </c>
      <c r="S138" s="18">
        <f>_xlfn.XLOOKUP(R138,'Price Assumptions'!E:E,'Price Assumptions'!G:G)</f>
        <v>2.99</v>
      </c>
      <c r="T138" s="18">
        <f t="shared" si="2"/>
        <v>110377.56177307099</v>
      </c>
      <c r="U138" s="12" t="s">
        <v>30</v>
      </c>
      <c r="V138" s="12" t="s">
        <v>9</v>
      </c>
      <c r="W138" s="19">
        <v>36915.572499354843</v>
      </c>
    </row>
    <row r="139" spans="3:23" x14ac:dyDescent="0.3">
      <c r="C139" s="12">
        <v>2033</v>
      </c>
      <c r="D139" s="12" t="s">
        <v>65</v>
      </c>
      <c r="E139" s="12" t="s">
        <v>66</v>
      </c>
      <c r="F139" s="12" t="s">
        <v>33</v>
      </c>
      <c r="G139" s="12" t="s">
        <v>34</v>
      </c>
      <c r="H139" s="12" t="s">
        <v>26</v>
      </c>
      <c r="I139" s="12" t="s">
        <v>27</v>
      </c>
      <c r="J139" s="12" t="s">
        <v>28</v>
      </c>
      <c r="K139" s="12" t="s">
        <v>29</v>
      </c>
      <c r="L139" s="12" t="s">
        <v>2</v>
      </c>
      <c r="M139" s="12" t="s">
        <v>2</v>
      </c>
      <c r="N139" s="12" t="s">
        <v>104</v>
      </c>
      <c r="O139" s="12" t="s">
        <v>104</v>
      </c>
      <c r="P139" s="12" t="s">
        <v>100</v>
      </c>
      <c r="Q139" s="12" t="s">
        <v>100</v>
      </c>
      <c r="R139" s="12" t="s">
        <v>163</v>
      </c>
      <c r="S139" s="18">
        <f>_xlfn.XLOOKUP(R139,'Price Assumptions'!E:E,'Price Assumptions'!G:G)</f>
        <v>5</v>
      </c>
      <c r="T139" s="18">
        <f t="shared" si="2"/>
        <v>2418889.0206774194</v>
      </c>
      <c r="U139" s="12" t="s">
        <v>30</v>
      </c>
      <c r="V139" s="12" t="s">
        <v>9</v>
      </c>
      <c r="W139" s="19">
        <v>483777.80413548392</v>
      </c>
    </row>
    <row r="140" spans="3:23" x14ac:dyDescent="0.3">
      <c r="C140" s="12">
        <v>2033</v>
      </c>
      <c r="D140" s="12" t="s">
        <v>67</v>
      </c>
      <c r="E140" s="12" t="s">
        <v>68</v>
      </c>
      <c r="F140" s="12" t="s">
        <v>33</v>
      </c>
      <c r="G140" s="12" t="s">
        <v>34</v>
      </c>
      <c r="H140" s="12" t="s">
        <v>26</v>
      </c>
      <c r="I140" s="12" t="s">
        <v>27</v>
      </c>
      <c r="J140" s="12" t="s">
        <v>28</v>
      </c>
      <c r="K140" s="12" t="s">
        <v>29</v>
      </c>
      <c r="L140" s="12" t="s">
        <v>2</v>
      </c>
      <c r="M140" s="12" t="s">
        <v>2</v>
      </c>
      <c r="N140" s="12" t="s">
        <v>107</v>
      </c>
      <c r="O140" s="12" t="s">
        <v>107</v>
      </c>
      <c r="P140" s="12" t="s">
        <v>108</v>
      </c>
      <c r="Q140" s="12" t="s">
        <v>120</v>
      </c>
      <c r="R140" s="12" t="s">
        <v>165</v>
      </c>
      <c r="S140" s="18">
        <f>_xlfn.XLOOKUP(R140,'Price Assumptions'!E:E,'Price Assumptions'!G:G)</f>
        <v>2.99</v>
      </c>
      <c r="T140" s="18">
        <f t="shared" si="2"/>
        <v>462843.02854378644</v>
      </c>
      <c r="U140" s="12" t="s">
        <v>30</v>
      </c>
      <c r="V140" s="12" t="s">
        <v>9</v>
      </c>
      <c r="W140" s="19">
        <v>154796.99951297205</v>
      </c>
    </row>
    <row r="141" spans="3:23" x14ac:dyDescent="0.3">
      <c r="C141" s="12">
        <v>2033</v>
      </c>
      <c r="D141" s="12" t="s">
        <v>69</v>
      </c>
      <c r="E141" s="12" t="s">
        <v>70</v>
      </c>
      <c r="F141" s="12" t="s">
        <v>33</v>
      </c>
      <c r="G141" s="12" t="s">
        <v>34</v>
      </c>
      <c r="H141" s="12" t="s">
        <v>26</v>
      </c>
      <c r="I141" s="12" t="s">
        <v>27</v>
      </c>
      <c r="J141" s="12" t="s">
        <v>28</v>
      </c>
      <c r="K141" s="12" t="s">
        <v>29</v>
      </c>
      <c r="L141" s="12" t="s">
        <v>2</v>
      </c>
      <c r="M141" s="12" t="s">
        <v>2</v>
      </c>
      <c r="N141" s="12" t="s">
        <v>99</v>
      </c>
      <c r="O141" s="12" t="s">
        <v>99</v>
      </c>
      <c r="P141" s="12" t="s">
        <v>100</v>
      </c>
      <c r="Q141" s="12" t="s">
        <v>100</v>
      </c>
      <c r="R141" s="12" t="s">
        <v>163</v>
      </c>
      <c r="S141" s="18">
        <f>_xlfn.XLOOKUP(R141,'Price Assumptions'!E:E,'Price Assumptions'!G:G)</f>
        <v>5</v>
      </c>
      <c r="T141" s="18">
        <f t="shared" si="2"/>
        <v>8592198.2317305803</v>
      </c>
      <c r="U141" s="12" t="s">
        <v>30</v>
      </c>
      <c r="V141" s="12" t="s">
        <v>9</v>
      </c>
      <c r="W141" s="19">
        <v>1718439.646346116</v>
      </c>
    </row>
    <row r="142" spans="3:23" x14ac:dyDescent="0.3">
      <c r="C142" s="12">
        <v>2033</v>
      </c>
      <c r="D142" s="12" t="s">
        <v>71</v>
      </c>
      <c r="E142" s="12" t="s">
        <v>72</v>
      </c>
      <c r="F142" s="12" t="s">
        <v>33</v>
      </c>
      <c r="G142" s="12" t="s">
        <v>34</v>
      </c>
      <c r="H142" s="12" t="s">
        <v>26</v>
      </c>
      <c r="I142" s="12" t="s">
        <v>27</v>
      </c>
      <c r="J142" s="12" t="s">
        <v>96</v>
      </c>
      <c r="K142" s="12" t="s">
        <v>29</v>
      </c>
      <c r="L142" s="12" t="s">
        <v>2</v>
      </c>
      <c r="M142" s="12" t="s">
        <v>2</v>
      </c>
      <c r="N142" s="12" t="s">
        <v>107</v>
      </c>
      <c r="O142" s="12" t="s">
        <v>107</v>
      </c>
      <c r="P142" s="12" t="s">
        <v>108</v>
      </c>
      <c r="Q142" s="12" t="s">
        <v>118</v>
      </c>
      <c r="R142" s="12" t="s">
        <v>164</v>
      </c>
      <c r="S142" s="18">
        <f>_xlfn.XLOOKUP(R142,'Price Assumptions'!E:E,'Price Assumptions'!G:G)</f>
        <v>2.99</v>
      </c>
      <c r="T142" s="18">
        <f t="shared" si="2"/>
        <v>4837636.9161519818</v>
      </c>
      <c r="U142" s="12" t="s">
        <v>30</v>
      </c>
      <c r="V142" s="12" t="s">
        <v>9</v>
      </c>
      <c r="W142" s="19">
        <v>1617938.7679438065</v>
      </c>
    </row>
    <row r="143" spans="3:23" x14ac:dyDescent="0.3">
      <c r="C143" s="12">
        <v>2033</v>
      </c>
      <c r="D143" s="12" t="s">
        <v>75</v>
      </c>
      <c r="E143" s="12" t="s">
        <v>76</v>
      </c>
      <c r="F143" s="12" t="s">
        <v>33</v>
      </c>
      <c r="G143" s="12" t="s">
        <v>34</v>
      </c>
      <c r="H143" s="12" t="s">
        <v>26</v>
      </c>
      <c r="I143" s="12" t="s">
        <v>27</v>
      </c>
      <c r="J143" s="12" t="s">
        <v>28</v>
      </c>
      <c r="K143" s="12" t="s">
        <v>29</v>
      </c>
      <c r="L143" s="12" t="s">
        <v>2</v>
      </c>
      <c r="M143" s="12" t="s">
        <v>2</v>
      </c>
      <c r="N143" s="12" t="s">
        <v>105</v>
      </c>
      <c r="O143" s="12" t="s">
        <v>105</v>
      </c>
      <c r="P143" s="12" t="s">
        <v>101</v>
      </c>
      <c r="Q143" s="12" t="s">
        <v>118</v>
      </c>
      <c r="R143" s="12" t="s">
        <v>164</v>
      </c>
      <c r="S143" s="18">
        <f>_xlfn.XLOOKUP(R143,'Price Assumptions'!E:E,'Price Assumptions'!G:G)</f>
        <v>2.99</v>
      </c>
      <c r="T143" s="18">
        <f t="shared" si="2"/>
        <v>7968773.8603300685</v>
      </c>
      <c r="U143" s="12" t="s">
        <v>30</v>
      </c>
      <c r="V143" s="12" t="s">
        <v>9</v>
      </c>
      <c r="W143" s="19">
        <v>2665141.7593077151</v>
      </c>
    </row>
    <row r="144" spans="3:23" x14ac:dyDescent="0.3">
      <c r="C144" s="12">
        <v>2033</v>
      </c>
      <c r="D144" s="12" t="s">
        <v>77</v>
      </c>
      <c r="E144" s="12" t="s">
        <v>78</v>
      </c>
      <c r="F144" s="12" t="s">
        <v>33</v>
      </c>
      <c r="G144" s="12" t="s">
        <v>34</v>
      </c>
      <c r="H144" s="12" t="s">
        <v>26</v>
      </c>
      <c r="I144" s="12" t="s">
        <v>27</v>
      </c>
      <c r="J144" s="12" t="s">
        <v>28</v>
      </c>
      <c r="K144" s="12" t="s">
        <v>29</v>
      </c>
      <c r="L144" s="12" t="s">
        <v>2</v>
      </c>
      <c r="M144" s="12" t="s">
        <v>2</v>
      </c>
      <c r="N144" s="12" t="s">
        <v>105</v>
      </c>
      <c r="O144" s="12" t="s">
        <v>105</v>
      </c>
      <c r="P144" s="12" t="s">
        <v>100</v>
      </c>
      <c r="Q144" s="12" t="s">
        <v>100</v>
      </c>
      <c r="R144" s="12" t="s">
        <v>163</v>
      </c>
      <c r="S144" s="18">
        <f>_xlfn.XLOOKUP(R144,'Price Assumptions'!E:E,'Price Assumptions'!G:G)</f>
        <v>5</v>
      </c>
      <c r="T144" s="18">
        <f t="shared" si="2"/>
        <v>10412687.171850985</v>
      </c>
      <c r="U144" s="12" t="s">
        <v>30</v>
      </c>
      <c r="V144" s="12" t="s">
        <v>9</v>
      </c>
      <c r="W144" s="19">
        <v>2082537.4343701971</v>
      </c>
    </row>
    <row r="145" spans="3:23" x14ac:dyDescent="0.3">
      <c r="C145" s="12">
        <v>2033</v>
      </c>
      <c r="D145" s="12" t="s">
        <v>81</v>
      </c>
      <c r="E145" s="12" t="s">
        <v>82</v>
      </c>
      <c r="F145" s="12" t="s">
        <v>33</v>
      </c>
      <c r="G145" s="12" t="s">
        <v>34</v>
      </c>
      <c r="H145" s="12" t="s">
        <v>26</v>
      </c>
      <c r="I145" s="12" t="s">
        <v>27</v>
      </c>
      <c r="J145" s="12" t="s">
        <v>28</v>
      </c>
      <c r="K145" s="12" t="s">
        <v>29</v>
      </c>
      <c r="L145" s="12" t="s">
        <v>2</v>
      </c>
      <c r="M145" s="12" t="s">
        <v>2</v>
      </c>
      <c r="N145" s="12" t="s">
        <v>106</v>
      </c>
      <c r="O145" s="12" t="s">
        <v>106</v>
      </c>
      <c r="P145" s="12" t="s">
        <v>100</v>
      </c>
      <c r="Q145" s="12" t="s">
        <v>100</v>
      </c>
      <c r="R145" s="12" t="s">
        <v>163</v>
      </c>
      <c r="S145" s="18">
        <f>_xlfn.XLOOKUP(R145,'Price Assumptions'!E:E,'Price Assumptions'!G:G)</f>
        <v>5</v>
      </c>
      <c r="T145" s="18">
        <f t="shared" si="2"/>
        <v>3566779.2437500004</v>
      </c>
      <c r="U145" s="12" t="s">
        <v>30</v>
      </c>
      <c r="V145" s="12" t="s">
        <v>9</v>
      </c>
      <c r="W145" s="19">
        <v>713355.84875000012</v>
      </c>
    </row>
    <row r="146" spans="3:23" x14ac:dyDescent="0.3">
      <c r="C146" s="12">
        <v>2033</v>
      </c>
      <c r="D146" s="12" t="s">
        <v>83</v>
      </c>
      <c r="E146" s="12" t="s">
        <v>84</v>
      </c>
      <c r="F146" s="12" t="s">
        <v>25</v>
      </c>
      <c r="G146" s="12" t="s">
        <v>34</v>
      </c>
      <c r="H146" s="12" t="s">
        <v>26</v>
      </c>
      <c r="I146" s="12" t="s">
        <v>27</v>
      </c>
      <c r="J146" s="12" t="s">
        <v>28</v>
      </c>
      <c r="K146" s="12" t="s">
        <v>29</v>
      </c>
      <c r="L146" s="12" t="s">
        <v>2</v>
      </c>
      <c r="M146" s="12" t="s">
        <v>2</v>
      </c>
      <c r="N146" s="12" t="s">
        <v>107</v>
      </c>
      <c r="O146" s="12" t="s">
        <v>107</v>
      </c>
      <c r="P146" s="12" t="s">
        <v>108</v>
      </c>
      <c r="Q146" s="12" t="s">
        <v>120</v>
      </c>
      <c r="R146" s="12" t="s">
        <v>165</v>
      </c>
      <c r="S146" s="18">
        <f>_xlfn.XLOOKUP(R146,'Price Assumptions'!E:E,'Price Assumptions'!G:G)</f>
        <v>2.99</v>
      </c>
      <c r="T146" s="18">
        <f t="shared" si="2"/>
        <v>1076303.2110489986</v>
      </c>
      <c r="U146" s="12" t="s">
        <v>30</v>
      </c>
      <c r="V146" s="12" t="s">
        <v>9</v>
      </c>
      <c r="W146" s="19">
        <v>359967.62911337742</v>
      </c>
    </row>
    <row r="147" spans="3:23" x14ac:dyDescent="0.3">
      <c r="C147" s="12">
        <v>2033</v>
      </c>
      <c r="D147" s="12" t="s">
        <v>85</v>
      </c>
      <c r="E147" s="12" t="s">
        <v>86</v>
      </c>
      <c r="F147" s="12" t="s">
        <v>25</v>
      </c>
      <c r="G147" s="12" t="s">
        <v>87</v>
      </c>
      <c r="H147" s="12" t="s">
        <v>26</v>
      </c>
      <c r="I147" s="12" t="s">
        <v>27</v>
      </c>
      <c r="J147" s="12" t="s">
        <v>28</v>
      </c>
      <c r="K147" s="12" t="s">
        <v>29</v>
      </c>
      <c r="L147" s="12" t="s">
        <v>2</v>
      </c>
      <c r="M147" s="12" t="s">
        <v>2</v>
      </c>
      <c r="N147" s="12" t="s">
        <v>103</v>
      </c>
      <c r="O147" s="12" t="s">
        <v>103</v>
      </c>
      <c r="P147" s="12" t="s">
        <v>101</v>
      </c>
      <c r="Q147" s="12" t="s">
        <v>118</v>
      </c>
      <c r="R147" s="12" t="s">
        <v>164</v>
      </c>
      <c r="S147" s="18">
        <f>_xlfn.XLOOKUP(R147,'Price Assumptions'!E:E,'Price Assumptions'!G:G)</f>
        <v>2.99</v>
      </c>
      <c r="T147" s="18">
        <f t="shared" si="2"/>
        <v>6907184.2642811006</v>
      </c>
      <c r="U147" s="12" t="s">
        <v>30</v>
      </c>
      <c r="V147" s="12" t="s">
        <v>9</v>
      </c>
      <c r="W147" s="19">
        <v>2310095.0716659199</v>
      </c>
    </row>
    <row r="148" spans="3:23" x14ac:dyDescent="0.3">
      <c r="C148" s="12">
        <v>2034</v>
      </c>
      <c r="D148" s="12" t="s">
        <v>39</v>
      </c>
      <c r="E148" s="12" t="s">
        <v>40</v>
      </c>
      <c r="F148" s="12" t="s">
        <v>33</v>
      </c>
      <c r="G148" s="12" t="s">
        <v>34</v>
      </c>
      <c r="H148" s="12" t="s">
        <v>26</v>
      </c>
      <c r="I148" s="12" t="s">
        <v>27</v>
      </c>
      <c r="J148" s="12" t="s">
        <v>28</v>
      </c>
      <c r="K148" s="12" t="s">
        <v>29</v>
      </c>
      <c r="L148" s="12" t="s">
        <v>2</v>
      </c>
      <c r="M148" s="12" t="s">
        <v>2</v>
      </c>
      <c r="N148" s="12" t="s">
        <v>107</v>
      </c>
      <c r="O148" s="12" t="s">
        <v>107</v>
      </c>
      <c r="P148" s="12" t="s">
        <v>108</v>
      </c>
      <c r="Q148" s="12" t="s">
        <v>100</v>
      </c>
      <c r="R148" s="12" t="s">
        <v>166</v>
      </c>
      <c r="S148" s="18">
        <f>_xlfn.XLOOKUP(R148,'Price Assumptions'!E:E,'Price Assumptions'!G:G)</f>
        <v>5</v>
      </c>
      <c r="T148" s="18">
        <f t="shared" si="2"/>
        <v>3777791.0138059678</v>
      </c>
      <c r="U148" s="12" t="s">
        <v>30</v>
      </c>
      <c r="V148" s="12" t="s">
        <v>9</v>
      </c>
      <c r="W148" s="19">
        <v>755558.2027611935</v>
      </c>
    </row>
    <row r="149" spans="3:23" x14ac:dyDescent="0.3">
      <c r="C149" s="12">
        <v>2034</v>
      </c>
      <c r="D149" s="12" t="s">
        <v>43</v>
      </c>
      <c r="E149" s="12" t="s">
        <v>44</v>
      </c>
      <c r="F149" s="12" t="s">
        <v>33</v>
      </c>
      <c r="G149" s="12" t="s">
        <v>34</v>
      </c>
      <c r="H149" s="12" t="s">
        <v>26</v>
      </c>
      <c r="I149" s="12" t="s">
        <v>27</v>
      </c>
      <c r="J149" s="12" t="s">
        <v>28</v>
      </c>
      <c r="K149" s="12" t="s">
        <v>29</v>
      </c>
      <c r="L149" s="12" t="s">
        <v>2</v>
      </c>
      <c r="M149" s="12" t="s">
        <v>2</v>
      </c>
      <c r="N149" s="12" t="s">
        <v>99</v>
      </c>
      <c r="O149" s="12" t="s">
        <v>99</v>
      </c>
      <c r="P149" s="12" t="s">
        <v>101</v>
      </c>
      <c r="Q149" s="12" t="s">
        <v>118</v>
      </c>
      <c r="R149" s="12" t="s">
        <v>167</v>
      </c>
      <c r="S149" s="18">
        <f>_xlfn.XLOOKUP(R149,'Price Assumptions'!E:E,'Price Assumptions'!G:G)</f>
        <v>2.99</v>
      </c>
      <c r="T149" s="18">
        <f t="shared" si="2"/>
        <v>1831100.6979260636</v>
      </c>
      <c r="U149" s="12" t="s">
        <v>30</v>
      </c>
      <c r="V149" s="12" t="s">
        <v>9</v>
      </c>
      <c r="W149" s="19">
        <v>612408.26017594093</v>
      </c>
    </row>
    <row r="150" spans="3:23" x14ac:dyDescent="0.3">
      <c r="C150" s="12">
        <v>2034</v>
      </c>
      <c r="D150" s="12" t="s">
        <v>45</v>
      </c>
      <c r="E150" s="12" t="s">
        <v>46</v>
      </c>
      <c r="F150" s="12" t="s">
        <v>33</v>
      </c>
      <c r="G150" s="12" t="s">
        <v>34</v>
      </c>
      <c r="H150" s="12" t="s">
        <v>26</v>
      </c>
      <c r="I150" s="12" t="s">
        <v>27</v>
      </c>
      <c r="J150" s="12" t="s">
        <v>28</v>
      </c>
      <c r="K150" s="12" t="s">
        <v>29</v>
      </c>
      <c r="L150" s="12" t="s">
        <v>2</v>
      </c>
      <c r="M150" s="12" t="s">
        <v>2</v>
      </c>
      <c r="N150" s="12" t="s">
        <v>102</v>
      </c>
      <c r="O150" s="12" t="s">
        <v>102</v>
      </c>
      <c r="P150" s="12" t="s">
        <v>101</v>
      </c>
      <c r="Q150" s="12" t="s">
        <v>118</v>
      </c>
      <c r="R150" s="12" t="s">
        <v>167</v>
      </c>
      <c r="S150" s="18">
        <f>_xlfn.XLOOKUP(R150,'Price Assumptions'!E:E,'Price Assumptions'!G:G)</f>
        <v>2.99</v>
      </c>
      <c r="T150" s="18">
        <f t="shared" si="2"/>
        <v>3455734.9200096098</v>
      </c>
      <c r="U150" s="12" t="s">
        <v>30</v>
      </c>
      <c r="V150" s="12" t="s">
        <v>9</v>
      </c>
      <c r="W150" s="19">
        <v>1155764.1872941838</v>
      </c>
    </row>
    <row r="151" spans="3:23" x14ac:dyDescent="0.3">
      <c r="C151" s="12">
        <v>2034</v>
      </c>
      <c r="D151" s="12" t="s">
        <v>51</v>
      </c>
      <c r="E151" s="12" t="s">
        <v>52</v>
      </c>
      <c r="F151" s="12" t="s">
        <v>33</v>
      </c>
      <c r="G151" s="12" t="s">
        <v>34</v>
      </c>
      <c r="H151" s="12" t="s">
        <v>26</v>
      </c>
      <c r="I151" s="12" t="s">
        <v>27</v>
      </c>
      <c r="J151" s="12" t="s">
        <v>28</v>
      </c>
      <c r="K151" s="12" t="s">
        <v>29</v>
      </c>
      <c r="L151" s="12" t="s">
        <v>2</v>
      </c>
      <c r="M151" s="12" t="s">
        <v>2</v>
      </c>
      <c r="N151" s="12" t="s">
        <v>103</v>
      </c>
      <c r="O151" s="12" t="s">
        <v>103</v>
      </c>
      <c r="P151" s="12" t="s">
        <v>101</v>
      </c>
      <c r="Q151" s="12" t="s">
        <v>118</v>
      </c>
      <c r="R151" s="12" t="s">
        <v>167</v>
      </c>
      <c r="S151" s="18">
        <f>_xlfn.XLOOKUP(R151,'Price Assumptions'!E:E,'Price Assumptions'!G:G)</f>
        <v>2.99</v>
      </c>
      <c r="T151" s="18">
        <f t="shared" si="2"/>
        <v>32571753.787361629</v>
      </c>
      <c r="U151" s="12" t="s">
        <v>30</v>
      </c>
      <c r="V151" s="12" t="s">
        <v>9</v>
      </c>
      <c r="W151" s="19">
        <v>10893563.139585828</v>
      </c>
    </row>
    <row r="152" spans="3:23" x14ac:dyDescent="0.3">
      <c r="C152" s="12">
        <v>2034</v>
      </c>
      <c r="D152" s="12" t="s">
        <v>55</v>
      </c>
      <c r="E152" s="12" t="s">
        <v>56</v>
      </c>
      <c r="F152" s="12" t="s">
        <v>33</v>
      </c>
      <c r="G152" s="12" t="s">
        <v>34</v>
      </c>
      <c r="H152" s="12" t="s">
        <v>26</v>
      </c>
      <c r="I152" s="12" t="s">
        <v>27</v>
      </c>
      <c r="J152" s="12" t="s">
        <v>28</v>
      </c>
      <c r="K152" s="12" t="s">
        <v>29</v>
      </c>
      <c r="L152" s="12" t="s">
        <v>2</v>
      </c>
      <c r="M152" s="12" t="s">
        <v>2</v>
      </c>
      <c r="N152" s="12" t="s">
        <v>107</v>
      </c>
      <c r="O152" s="12" t="s">
        <v>107</v>
      </c>
      <c r="P152" s="12" t="s">
        <v>108</v>
      </c>
      <c r="Q152" s="12" t="s">
        <v>118</v>
      </c>
      <c r="R152" s="12" t="s">
        <v>167</v>
      </c>
      <c r="S152" s="18">
        <f>_xlfn.XLOOKUP(R152,'Price Assumptions'!E:E,'Price Assumptions'!G:G)</f>
        <v>2.99</v>
      </c>
      <c r="T152" s="18">
        <f t="shared" si="2"/>
        <v>111927.00211689089</v>
      </c>
      <c r="U152" s="12" t="s">
        <v>30</v>
      </c>
      <c r="V152" s="12" t="s">
        <v>9</v>
      </c>
      <c r="W152" s="19">
        <v>37433.779972204306</v>
      </c>
    </row>
    <row r="153" spans="3:23" x14ac:dyDescent="0.3">
      <c r="C153" s="12">
        <v>2034</v>
      </c>
      <c r="D153" s="12" t="s">
        <v>65</v>
      </c>
      <c r="E153" s="12" t="s">
        <v>66</v>
      </c>
      <c r="F153" s="12" t="s">
        <v>33</v>
      </c>
      <c r="G153" s="12" t="s">
        <v>34</v>
      </c>
      <c r="H153" s="12" t="s">
        <v>26</v>
      </c>
      <c r="I153" s="12" t="s">
        <v>27</v>
      </c>
      <c r="J153" s="12" t="s">
        <v>28</v>
      </c>
      <c r="K153" s="12" t="s">
        <v>29</v>
      </c>
      <c r="L153" s="12" t="s">
        <v>2</v>
      </c>
      <c r="M153" s="12" t="s">
        <v>2</v>
      </c>
      <c r="N153" s="12" t="s">
        <v>104</v>
      </c>
      <c r="O153" s="12" t="s">
        <v>104</v>
      </c>
      <c r="P153" s="12" t="s">
        <v>100</v>
      </c>
      <c r="Q153" s="12" t="s">
        <v>100</v>
      </c>
      <c r="R153" s="12" t="s">
        <v>166</v>
      </c>
      <c r="S153" s="18">
        <f>_xlfn.XLOOKUP(R153,'Price Assumptions'!E:E,'Price Assumptions'!G:G)</f>
        <v>5</v>
      </c>
      <c r="T153" s="18">
        <f t="shared" si="2"/>
        <v>2435142.3768387097</v>
      </c>
      <c r="U153" s="12" t="s">
        <v>30</v>
      </c>
      <c r="V153" s="12" t="s">
        <v>9</v>
      </c>
      <c r="W153" s="19">
        <v>487028.47536774195</v>
      </c>
    </row>
    <row r="154" spans="3:23" x14ac:dyDescent="0.3">
      <c r="C154" s="12">
        <v>2034</v>
      </c>
      <c r="D154" s="12" t="s">
        <v>67</v>
      </c>
      <c r="E154" s="12" t="s">
        <v>68</v>
      </c>
      <c r="F154" s="12" t="s">
        <v>33</v>
      </c>
      <c r="G154" s="12" t="s">
        <v>34</v>
      </c>
      <c r="H154" s="12" t="s">
        <v>26</v>
      </c>
      <c r="I154" s="12" t="s">
        <v>27</v>
      </c>
      <c r="J154" s="12" t="s">
        <v>28</v>
      </c>
      <c r="K154" s="12" t="s">
        <v>29</v>
      </c>
      <c r="L154" s="12" t="s">
        <v>2</v>
      </c>
      <c r="M154" s="12" t="s">
        <v>2</v>
      </c>
      <c r="N154" s="12" t="s">
        <v>107</v>
      </c>
      <c r="O154" s="12" t="s">
        <v>107</v>
      </c>
      <c r="P154" s="12" t="s">
        <v>108</v>
      </c>
      <c r="Q154" s="12" t="s">
        <v>120</v>
      </c>
      <c r="R154" s="12" t="s">
        <v>168</v>
      </c>
      <c r="S154" s="18">
        <f>_xlfn.XLOOKUP(R154,'Price Assumptions'!E:E,'Price Assumptions'!G:G)</f>
        <v>2.99</v>
      </c>
      <c r="T154" s="18">
        <f t="shared" si="2"/>
        <v>472761.30594812182</v>
      </c>
      <c r="U154" s="12" t="s">
        <v>30</v>
      </c>
      <c r="V154" s="12" t="s">
        <v>9</v>
      </c>
      <c r="W154" s="19">
        <v>158114.14914652903</v>
      </c>
    </row>
    <row r="155" spans="3:23" x14ac:dyDescent="0.3">
      <c r="C155" s="12">
        <v>2034</v>
      </c>
      <c r="D155" s="12" t="s">
        <v>69</v>
      </c>
      <c r="E155" s="12" t="s">
        <v>70</v>
      </c>
      <c r="F155" s="12" t="s">
        <v>33</v>
      </c>
      <c r="G155" s="12" t="s">
        <v>34</v>
      </c>
      <c r="H155" s="12" t="s">
        <v>26</v>
      </c>
      <c r="I155" s="12" t="s">
        <v>27</v>
      </c>
      <c r="J155" s="12" t="s">
        <v>28</v>
      </c>
      <c r="K155" s="12" t="s">
        <v>29</v>
      </c>
      <c r="L155" s="12" t="s">
        <v>2</v>
      </c>
      <c r="M155" s="12" t="s">
        <v>2</v>
      </c>
      <c r="N155" s="12" t="s">
        <v>99</v>
      </c>
      <c r="O155" s="12" t="s">
        <v>99</v>
      </c>
      <c r="P155" s="12" t="s">
        <v>100</v>
      </c>
      <c r="Q155" s="12" t="s">
        <v>100</v>
      </c>
      <c r="R155" s="12" t="s">
        <v>166</v>
      </c>
      <c r="S155" s="18">
        <f>_xlfn.XLOOKUP(R155,'Price Assumptions'!E:E,'Price Assumptions'!G:G)</f>
        <v>5</v>
      </c>
      <c r="T155" s="18">
        <f t="shared" si="2"/>
        <v>8659985.7566988394</v>
      </c>
      <c r="U155" s="12" t="s">
        <v>30</v>
      </c>
      <c r="V155" s="12" t="s">
        <v>9</v>
      </c>
      <c r="W155" s="19">
        <v>1731997.1513397677</v>
      </c>
    </row>
    <row r="156" spans="3:23" x14ac:dyDescent="0.3">
      <c r="C156" s="12">
        <v>2034</v>
      </c>
      <c r="D156" s="12" t="s">
        <v>71</v>
      </c>
      <c r="E156" s="12" t="s">
        <v>72</v>
      </c>
      <c r="F156" s="12" t="s">
        <v>33</v>
      </c>
      <c r="G156" s="12" t="s">
        <v>34</v>
      </c>
      <c r="H156" s="12" t="s">
        <v>26</v>
      </c>
      <c r="I156" s="12" t="s">
        <v>27</v>
      </c>
      <c r="J156" s="12" t="s">
        <v>96</v>
      </c>
      <c r="K156" s="12" t="s">
        <v>29</v>
      </c>
      <c r="L156" s="12" t="s">
        <v>2</v>
      </c>
      <c r="M156" s="12" t="s">
        <v>2</v>
      </c>
      <c r="N156" s="12" t="s">
        <v>107</v>
      </c>
      <c r="O156" s="12" t="s">
        <v>107</v>
      </c>
      <c r="P156" s="12" t="s">
        <v>108</v>
      </c>
      <c r="Q156" s="12" t="s">
        <v>118</v>
      </c>
      <c r="R156" s="12" t="s">
        <v>167</v>
      </c>
      <c r="S156" s="18">
        <f>_xlfn.XLOOKUP(R156,'Price Assumptions'!E:E,'Price Assumptions'!G:G)</f>
        <v>2.99</v>
      </c>
      <c r="T156" s="18">
        <f t="shared" si="2"/>
        <v>4964790.9849259602</v>
      </c>
      <c r="U156" s="12" t="s">
        <v>30</v>
      </c>
      <c r="V156" s="12" t="s">
        <v>9</v>
      </c>
      <c r="W156" s="19">
        <v>1660465.2123498195</v>
      </c>
    </row>
    <row r="157" spans="3:23" x14ac:dyDescent="0.3">
      <c r="C157" s="12">
        <v>2034</v>
      </c>
      <c r="D157" s="12" t="s">
        <v>75</v>
      </c>
      <c r="E157" s="12" t="s">
        <v>76</v>
      </c>
      <c r="F157" s="12" t="s">
        <v>33</v>
      </c>
      <c r="G157" s="12" t="s">
        <v>34</v>
      </c>
      <c r="H157" s="12" t="s">
        <v>26</v>
      </c>
      <c r="I157" s="12" t="s">
        <v>27</v>
      </c>
      <c r="J157" s="12" t="s">
        <v>28</v>
      </c>
      <c r="K157" s="12" t="s">
        <v>29</v>
      </c>
      <c r="L157" s="12" t="s">
        <v>2</v>
      </c>
      <c r="M157" s="12" t="s">
        <v>2</v>
      </c>
      <c r="N157" s="12" t="s">
        <v>105</v>
      </c>
      <c r="O157" s="12" t="s">
        <v>105</v>
      </c>
      <c r="P157" s="12" t="s">
        <v>101</v>
      </c>
      <c r="Q157" s="12" t="s">
        <v>118</v>
      </c>
      <c r="R157" s="12" t="s">
        <v>167</v>
      </c>
      <c r="S157" s="18">
        <f>_xlfn.XLOOKUP(R157,'Price Assumptions'!E:E,'Price Assumptions'!G:G)</f>
        <v>2.99</v>
      </c>
      <c r="T157" s="18">
        <f t="shared" si="2"/>
        <v>8146882.1876365524</v>
      </c>
      <c r="U157" s="12" t="s">
        <v>30</v>
      </c>
      <c r="V157" s="12" t="s">
        <v>9</v>
      </c>
      <c r="W157" s="19">
        <v>2724709.7617513551</v>
      </c>
    </row>
    <row r="158" spans="3:23" x14ac:dyDescent="0.3">
      <c r="C158" s="12">
        <v>2034</v>
      </c>
      <c r="D158" s="12" t="s">
        <v>77</v>
      </c>
      <c r="E158" s="12" t="s">
        <v>78</v>
      </c>
      <c r="F158" s="12" t="s">
        <v>33</v>
      </c>
      <c r="G158" s="12" t="s">
        <v>34</v>
      </c>
      <c r="H158" s="12" t="s">
        <v>26</v>
      </c>
      <c r="I158" s="12" t="s">
        <v>27</v>
      </c>
      <c r="J158" s="12" t="s">
        <v>28</v>
      </c>
      <c r="K158" s="12" t="s">
        <v>29</v>
      </c>
      <c r="L158" s="12" t="s">
        <v>2</v>
      </c>
      <c r="M158" s="12" t="s">
        <v>2</v>
      </c>
      <c r="N158" s="12" t="s">
        <v>105</v>
      </c>
      <c r="O158" s="12" t="s">
        <v>105</v>
      </c>
      <c r="P158" s="12" t="s">
        <v>100</v>
      </c>
      <c r="Q158" s="12" t="s">
        <v>100</v>
      </c>
      <c r="R158" s="12" t="s">
        <v>166</v>
      </c>
      <c r="S158" s="18">
        <f>_xlfn.XLOOKUP(R158,'Price Assumptions'!E:E,'Price Assumptions'!G:G)</f>
        <v>5</v>
      </c>
      <c r="T158" s="18">
        <f t="shared" si="2"/>
        <v>10481831.531772098</v>
      </c>
      <c r="U158" s="12" t="s">
        <v>30</v>
      </c>
      <c r="V158" s="12" t="s">
        <v>9</v>
      </c>
      <c r="W158" s="19">
        <v>2096366.3063544196</v>
      </c>
    </row>
    <row r="159" spans="3:23" x14ac:dyDescent="0.3">
      <c r="C159" s="12">
        <v>2034</v>
      </c>
      <c r="D159" s="12" t="s">
        <v>81</v>
      </c>
      <c r="E159" s="12" t="s">
        <v>82</v>
      </c>
      <c r="F159" s="12" t="s">
        <v>33</v>
      </c>
      <c r="G159" s="12" t="s">
        <v>34</v>
      </c>
      <c r="H159" s="12" t="s">
        <v>26</v>
      </c>
      <c r="I159" s="12" t="s">
        <v>27</v>
      </c>
      <c r="J159" s="12" t="s">
        <v>28</v>
      </c>
      <c r="K159" s="12" t="s">
        <v>29</v>
      </c>
      <c r="L159" s="12" t="s">
        <v>2</v>
      </c>
      <c r="M159" s="12" t="s">
        <v>2</v>
      </c>
      <c r="N159" s="12" t="s">
        <v>106</v>
      </c>
      <c r="O159" s="12" t="s">
        <v>106</v>
      </c>
      <c r="P159" s="12" t="s">
        <v>100</v>
      </c>
      <c r="Q159" s="12" t="s">
        <v>100</v>
      </c>
      <c r="R159" s="12" t="s">
        <v>166</v>
      </c>
      <c r="S159" s="18">
        <f>_xlfn.XLOOKUP(R159,'Price Assumptions'!E:E,'Price Assumptions'!G:G)</f>
        <v>5</v>
      </c>
      <c r="T159" s="18">
        <f t="shared" si="2"/>
        <v>3574572.1043125005</v>
      </c>
      <c r="U159" s="12" t="s">
        <v>30</v>
      </c>
      <c r="V159" s="12" t="s">
        <v>9</v>
      </c>
      <c r="W159" s="19">
        <v>714914.42086250009</v>
      </c>
    </row>
    <row r="160" spans="3:23" x14ac:dyDescent="0.3">
      <c r="C160" s="12">
        <v>2034</v>
      </c>
      <c r="D160" s="12" t="s">
        <v>83</v>
      </c>
      <c r="E160" s="12" t="s">
        <v>84</v>
      </c>
      <c r="F160" s="12" t="s">
        <v>25</v>
      </c>
      <c r="G160" s="12" t="s">
        <v>34</v>
      </c>
      <c r="H160" s="12" t="s">
        <v>26</v>
      </c>
      <c r="I160" s="12" t="s">
        <v>27</v>
      </c>
      <c r="J160" s="12" t="s">
        <v>28</v>
      </c>
      <c r="K160" s="12" t="s">
        <v>29</v>
      </c>
      <c r="L160" s="12" t="s">
        <v>2</v>
      </c>
      <c r="M160" s="12" t="s">
        <v>2</v>
      </c>
      <c r="N160" s="12" t="s">
        <v>107</v>
      </c>
      <c r="O160" s="12" t="s">
        <v>107</v>
      </c>
      <c r="P160" s="12" t="s">
        <v>108</v>
      </c>
      <c r="Q160" s="12" t="s">
        <v>120</v>
      </c>
      <c r="R160" s="12" t="s">
        <v>168</v>
      </c>
      <c r="S160" s="18">
        <f>_xlfn.XLOOKUP(R160,'Price Assumptions'!E:E,'Price Assumptions'!G:G)</f>
        <v>2.99</v>
      </c>
      <c r="T160" s="18">
        <f t="shared" si="2"/>
        <v>1105581.0752705638</v>
      </c>
      <c r="U160" s="12" t="s">
        <v>30</v>
      </c>
      <c r="V160" s="12" t="s">
        <v>9</v>
      </c>
      <c r="W160" s="19">
        <v>369759.55694667681</v>
      </c>
    </row>
    <row r="161" spans="3:23" x14ac:dyDescent="0.3">
      <c r="C161" s="12">
        <v>2034</v>
      </c>
      <c r="D161" s="12" t="s">
        <v>85</v>
      </c>
      <c r="E161" s="12" t="s">
        <v>86</v>
      </c>
      <c r="F161" s="12" t="s">
        <v>25</v>
      </c>
      <c r="G161" s="12" t="s">
        <v>87</v>
      </c>
      <c r="H161" s="12" t="s">
        <v>26</v>
      </c>
      <c r="I161" s="12" t="s">
        <v>27</v>
      </c>
      <c r="J161" s="12" t="s">
        <v>28</v>
      </c>
      <c r="K161" s="12" t="s">
        <v>29</v>
      </c>
      <c r="L161" s="12" t="s">
        <v>2</v>
      </c>
      <c r="M161" s="12" t="s">
        <v>2</v>
      </c>
      <c r="N161" s="12" t="s">
        <v>103</v>
      </c>
      <c r="O161" s="12" t="s">
        <v>103</v>
      </c>
      <c r="P161" s="12" t="s">
        <v>101</v>
      </c>
      <c r="Q161" s="12" t="s">
        <v>118</v>
      </c>
      <c r="R161" s="12" t="s">
        <v>167</v>
      </c>
      <c r="S161" s="18">
        <f>_xlfn.XLOOKUP(R161,'Price Assumptions'!E:E,'Price Assumptions'!G:G)</f>
        <v>2.99</v>
      </c>
      <c r="T161" s="18">
        <f t="shared" si="2"/>
        <v>7045276.4830109729</v>
      </c>
      <c r="U161" s="12" t="s">
        <v>30</v>
      </c>
      <c r="V161" s="12" t="s">
        <v>9</v>
      </c>
      <c r="W161" s="19">
        <v>2356279.7602043385</v>
      </c>
    </row>
    <row r="162" spans="3:23" x14ac:dyDescent="0.3">
      <c r="C162" s="12">
        <v>2035</v>
      </c>
      <c r="D162" s="12" t="s">
        <v>39</v>
      </c>
      <c r="E162" s="12" t="s">
        <v>40</v>
      </c>
      <c r="F162" s="12" t="s">
        <v>33</v>
      </c>
      <c r="G162" s="12" t="s">
        <v>34</v>
      </c>
      <c r="H162" s="12" t="s">
        <v>26</v>
      </c>
      <c r="I162" s="12" t="s">
        <v>27</v>
      </c>
      <c r="J162" s="12" t="s">
        <v>28</v>
      </c>
      <c r="K162" s="12" t="s">
        <v>29</v>
      </c>
      <c r="L162" s="12" t="s">
        <v>2</v>
      </c>
      <c r="M162" s="12" t="s">
        <v>2</v>
      </c>
      <c r="N162" s="12" t="s">
        <v>107</v>
      </c>
      <c r="O162" s="12" t="s">
        <v>107</v>
      </c>
      <c r="P162" s="12" t="s">
        <v>108</v>
      </c>
      <c r="Q162" s="12" t="s">
        <v>100</v>
      </c>
      <c r="R162" s="12" t="s">
        <v>169</v>
      </c>
      <c r="S162" s="18">
        <f>_xlfn.XLOOKUP(R162,'Price Assumptions'!E:E,'Price Assumptions'!G:G)</f>
        <v>5</v>
      </c>
      <c r="T162" s="18">
        <f t="shared" si="2"/>
        <v>3863459.2718298384</v>
      </c>
      <c r="U162" s="12" t="s">
        <v>30</v>
      </c>
      <c r="V162" s="12" t="s">
        <v>9</v>
      </c>
      <c r="W162" s="19">
        <v>772691.85436596768</v>
      </c>
    </row>
    <row r="163" spans="3:23" x14ac:dyDescent="0.3">
      <c r="C163" s="12">
        <v>2035</v>
      </c>
      <c r="D163" s="12" t="s">
        <v>43</v>
      </c>
      <c r="E163" s="12" t="s">
        <v>44</v>
      </c>
      <c r="F163" s="12" t="s">
        <v>33</v>
      </c>
      <c r="G163" s="12" t="s">
        <v>34</v>
      </c>
      <c r="H163" s="12" t="s">
        <v>26</v>
      </c>
      <c r="I163" s="12" t="s">
        <v>27</v>
      </c>
      <c r="J163" s="12" t="s">
        <v>28</v>
      </c>
      <c r="K163" s="12" t="s">
        <v>29</v>
      </c>
      <c r="L163" s="12" t="s">
        <v>2</v>
      </c>
      <c r="M163" s="12" t="s">
        <v>2</v>
      </c>
      <c r="N163" s="12" t="s">
        <v>99</v>
      </c>
      <c r="O163" s="12" t="s">
        <v>99</v>
      </c>
      <c r="P163" s="12" t="s">
        <v>101</v>
      </c>
      <c r="Q163" s="12" t="s">
        <v>118</v>
      </c>
      <c r="R163" s="12" t="s">
        <v>170</v>
      </c>
      <c r="S163" s="18">
        <f>_xlfn.XLOOKUP(R163,'Price Assumptions'!E:E,'Price Assumptions'!G:G)</f>
        <v>2.99</v>
      </c>
      <c r="T163" s="18">
        <f t="shared" si="2"/>
        <v>1863304.7282885753</v>
      </c>
      <c r="U163" s="12" t="s">
        <v>30</v>
      </c>
      <c r="V163" s="12" t="s">
        <v>9</v>
      </c>
      <c r="W163" s="19">
        <v>623178.83889250003</v>
      </c>
    </row>
    <row r="164" spans="3:23" x14ac:dyDescent="0.3">
      <c r="C164" s="12">
        <v>2035</v>
      </c>
      <c r="D164" s="12" t="s">
        <v>45</v>
      </c>
      <c r="E164" s="12" t="s">
        <v>46</v>
      </c>
      <c r="F164" s="12" t="s">
        <v>33</v>
      </c>
      <c r="G164" s="12" t="s">
        <v>34</v>
      </c>
      <c r="H164" s="12" t="s">
        <v>26</v>
      </c>
      <c r="I164" s="12" t="s">
        <v>27</v>
      </c>
      <c r="J164" s="12" t="s">
        <v>28</v>
      </c>
      <c r="K164" s="12" t="s">
        <v>29</v>
      </c>
      <c r="L164" s="12" t="s">
        <v>2</v>
      </c>
      <c r="M164" s="12" t="s">
        <v>2</v>
      </c>
      <c r="N164" s="12" t="s">
        <v>102</v>
      </c>
      <c r="O164" s="12" t="s">
        <v>102</v>
      </c>
      <c r="P164" s="12" t="s">
        <v>101</v>
      </c>
      <c r="Q164" s="12" t="s">
        <v>118</v>
      </c>
      <c r="R164" s="12" t="s">
        <v>170</v>
      </c>
      <c r="S164" s="18">
        <f>_xlfn.XLOOKUP(R164,'Price Assumptions'!E:E,'Price Assumptions'!G:G)</f>
        <v>2.99</v>
      </c>
      <c r="T164" s="18">
        <f t="shared" si="2"/>
        <v>3534814.0618889686</v>
      </c>
      <c r="U164" s="12" t="s">
        <v>30</v>
      </c>
      <c r="V164" s="12" t="s">
        <v>9</v>
      </c>
      <c r="W164" s="19">
        <v>1182212.0608324308</v>
      </c>
    </row>
    <row r="165" spans="3:23" x14ac:dyDescent="0.3">
      <c r="C165" s="12">
        <v>2035</v>
      </c>
      <c r="D165" s="12" t="s">
        <v>51</v>
      </c>
      <c r="E165" s="12" t="s">
        <v>52</v>
      </c>
      <c r="F165" s="12" t="s">
        <v>33</v>
      </c>
      <c r="G165" s="12" t="s">
        <v>34</v>
      </c>
      <c r="H165" s="12" t="s">
        <v>26</v>
      </c>
      <c r="I165" s="12" t="s">
        <v>27</v>
      </c>
      <c r="J165" s="12" t="s">
        <v>28</v>
      </c>
      <c r="K165" s="12" t="s">
        <v>29</v>
      </c>
      <c r="L165" s="12" t="s">
        <v>2</v>
      </c>
      <c r="M165" s="12" t="s">
        <v>2</v>
      </c>
      <c r="N165" s="12" t="s">
        <v>103</v>
      </c>
      <c r="O165" s="12" t="s">
        <v>103</v>
      </c>
      <c r="P165" s="12" t="s">
        <v>101</v>
      </c>
      <c r="Q165" s="12" t="s">
        <v>118</v>
      </c>
      <c r="R165" s="12" t="s">
        <v>170</v>
      </c>
      <c r="S165" s="18">
        <f>_xlfn.XLOOKUP(R165,'Price Assumptions'!E:E,'Price Assumptions'!G:G)</f>
        <v>2.99</v>
      </c>
      <c r="T165" s="18">
        <f t="shared" si="2"/>
        <v>33379842.123913914</v>
      </c>
      <c r="U165" s="12" t="s">
        <v>30</v>
      </c>
      <c r="V165" s="12" t="s">
        <v>9</v>
      </c>
      <c r="W165" s="19">
        <v>11163826.797295623</v>
      </c>
    </row>
    <row r="166" spans="3:23" x14ac:dyDescent="0.3">
      <c r="C166" s="12">
        <v>2035</v>
      </c>
      <c r="D166" s="12" t="s">
        <v>55</v>
      </c>
      <c r="E166" s="12" t="s">
        <v>56</v>
      </c>
      <c r="F166" s="12" t="s">
        <v>33</v>
      </c>
      <c r="G166" s="12" t="s">
        <v>34</v>
      </c>
      <c r="H166" s="12" t="s">
        <v>26</v>
      </c>
      <c r="I166" s="12" t="s">
        <v>27</v>
      </c>
      <c r="J166" s="12" t="s">
        <v>28</v>
      </c>
      <c r="K166" s="12" t="s">
        <v>29</v>
      </c>
      <c r="L166" s="12" t="s">
        <v>2</v>
      </c>
      <c r="M166" s="12" t="s">
        <v>2</v>
      </c>
      <c r="N166" s="12" t="s">
        <v>107</v>
      </c>
      <c r="O166" s="12" t="s">
        <v>107</v>
      </c>
      <c r="P166" s="12" t="s">
        <v>108</v>
      </c>
      <c r="Q166" s="12" t="s">
        <v>118</v>
      </c>
      <c r="R166" s="12" t="s">
        <v>170</v>
      </c>
      <c r="S166" s="18">
        <f>_xlfn.XLOOKUP(R166,'Price Assumptions'!E:E,'Price Assumptions'!G:G)</f>
        <v>2.99</v>
      </c>
      <c r="T166" s="18">
        <f t="shared" si="2"/>
        <v>113459.62485260142</v>
      </c>
      <c r="U166" s="12" t="s">
        <v>30</v>
      </c>
      <c r="V166" s="12" t="s">
        <v>9</v>
      </c>
      <c r="W166" s="19">
        <v>37946.362826956996</v>
      </c>
    </row>
    <row r="167" spans="3:23" x14ac:dyDescent="0.3">
      <c r="C167" s="12">
        <v>2035</v>
      </c>
      <c r="D167" s="12" t="s">
        <v>65</v>
      </c>
      <c r="E167" s="12" t="s">
        <v>66</v>
      </c>
      <c r="F167" s="12" t="s">
        <v>33</v>
      </c>
      <c r="G167" s="12" t="s">
        <v>34</v>
      </c>
      <c r="H167" s="12" t="s">
        <v>26</v>
      </c>
      <c r="I167" s="12" t="s">
        <v>27</v>
      </c>
      <c r="J167" s="12" t="s">
        <v>28</v>
      </c>
      <c r="K167" s="12" t="s">
        <v>29</v>
      </c>
      <c r="L167" s="12" t="s">
        <v>2</v>
      </c>
      <c r="M167" s="12" t="s">
        <v>2</v>
      </c>
      <c r="N167" s="12" t="s">
        <v>104</v>
      </c>
      <c r="O167" s="12" t="s">
        <v>104</v>
      </c>
      <c r="P167" s="12" t="s">
        <v>100</v>
      </c>
      <c r="Q167" s="12" t="s">
        <v>100</v>
      </c>
      <c r="R167" s="12" t="s">
        <v>169</v>
      </c>
      <c r="S167" s="18">
        <f>_xlfn.XLOOKUP(R167,'Price Assumptions'!E:E,'Price Assumptions'!G:G)</f>
        <v>5</v>
      </c>
      <c r="T167" s="18">
        <f t="shared" si="2"/>
        <v>2450991.9215806453</v>
      </c>
      <c r="U167" s="12" t="s">
        <v>30</v>
      </c>
      <c r="V167" s="12" t="s">
        <v>9</v>
      </c>
      <c r="W167" s="19">
        <v>490198.38431612903</v>
      </c>
    </row>
    <row r="168" spans="3:23" x14ac:dyDescent="0.3">
      <c r="C168" s="12">
        <v>2035</v>
      </c>
      <c r="D168" s="12" t="s">
        <v>67</v>
      </c>
      <c r="E168" s="12" t="s">
        <v>68</v>
      </c>
      <c r="F168" s="12" t="s">
        <v>33</v>
      </c>
      <c r="G168" s="12" t="s">
        <v>34</v>
      </c>
      <c r="H168" s="12" t="s">
        <v>26</v>
      </c>
      <c r="I168" s="12" t="s">
        <v>27</v>
      </c>
      <c r="J168" s="12" t="s">
        <v>28</v>
      </c>
      <c r="K168" s="12" t="s">
        <v>29</v>
      </c>
      <c r="L168" s="12" t="s">
        <v>2</v>
      </c>
      <c r="M168" s="12" t="s">
        <v>2</v>
      </c>
      <c r="N168" s="12" t="s">
        <v>107</v>
      </c>
      <c r="O168" s="12" t="s">
        <v>107</v>
      </c>
      <c r="P168" s="12" t="s">
        <v>108</v>
      </c>
      <c r="Q168" s="12" t="s">
        <v>120</v>
      </c>
      <c r="R168" s="12" t="s">
        <v>171</v>
      </c>
      <c r="S168" s="18">
        <f>_xlfn.XLOOKUP(R168,'Price Assumptions'!E:E,'Price Assumptions'!G:G)</f>
        <v>2.99</v>
      </c>
      <c r="T168" s="18">
        <f t="shared" si="2"/>
        <v>483108.19017621293</v>
      </c>
      <c r="U168" s="12" t="s">
        <v>30</v>
      </c>
      <c r="V168" s="12" t="s">
        <v>9</v>
      </c>
      <c r="W168" s="19">
        <v>161574.6455438839</v>
      </c>
    </row>
    <row r="169" spans="3:23" x14ac:dyDescent="0.3">
      <c r="C169" s="12">
        <v>2035</v>
      </c>
      <c r="D169" s="12" t="s">
        <v>69</v>
      </c>
      <c r="E169" s="12" t="s">
        <v>70</v>
      </c>
      <c r="F169" s="12" t="s">
        <v>33</v>
      </c>
      <c r="G169" s="12" t="s">
        <v>34</v>
      </c>
      <c r="H169" s="12" t="s">
        <v>26</v>
      </c>
      <c r="I169" s="12" t="s">
        <v>27</v>
      </c>
      <c r="J169" s="12" t="s">
        <v>28</v>
      </c>
      <c r="K169" s="12" t="s">
        <v>29</v>
      </c>
      <c r="L169" s="12" t="s">
        <v>2</v>
      </c>
      <c r="M169" s="12" t="s">
        <v>2</v>
      </c>
      <c r="N169" s="12" t="s">
        <v>99</v>
      </c>
      <c r="O169" s="12" t="s">
        <v>99</v>
      </c>
      <c r="P169" s="12" t="s">
        <v>100</v>
      </c>
      <c r="Q169" s="12" t="s">
        <v>100</v>
      </c>
      <c r="R169" s="12" t="s">
        <v>169</v>
      </c>
      <c r="S169" s="18">
        <f>_xlfn.XLOOKUP(R169,'Price Assumptions'!E:E,'Price Assumptions'!G:G)</f>
        <v>5</v>
      </c>
      <c r="T169" s="18">
        <f t="shared" si="2"/>
        <v>8719595.3436010312</v>
      </c>
      <c r="U169" s="12" t="s">
        <v>30</v>
      </c>
      <c r="V169" s="12" t="s">
        <v>9</v>
      </c>
      <c r="W169" s="19">
        <v>1743919.0687202062</v>
      </c>
    </row>
    <row r="170" spans="3:23" x14ac:dyDescent="0.3">
      <c r="C170" s="12">
        <v>2035</v>
      </c>
      <c r="D170" s="12" t="s">
        <v>71</v>
      </c>
      <c r="E170" s="12" t="s">
        <v>72</v>
      </c>
      <c r="F170" s="12" t="s">
        <v>33</v>
      </c>
      <c r="G170" s="12" t="s">
        <v>34</v>
      </c>
      <c r="H170" s="12" t="s">
        <v>26</v>
      </c>
      <c r="I170" s="12" t="s">
        <v>27</v>
      </c>
      <c r="J170" s="12" t="s">
        <v>96</v>
      </c>
      <c r="K170" s="12" t="s">
        <v>29</v>
      </c>
      <c r="L170" s="12" t="s">
        <v>2</v>
      </c>
      <c r="M170" s="12" t="s">
        <v>2</v>
      </c>
      <c r="N170" s="12" t="s">
        <v>107</v>
      </c>
      <c r="O170" s="12" t="s">
        <v>107</v>
      </c>
      <c r="P170" s="12" t="s">
        <v>108</v>
      </c>
      <c r="Q170" s="12" t="s">
        <v>118</v>
      </c>
      <c r="R170" s="12" t="s">
        <v>170</v>
      </c>
      <c r="S170" s="18">
        <f>_xlfn.XLOOKUP(R170,'Price Assumptions'!E:E,'Price Assumptions'!G:G)</f>
        <v>2.99</v>
      </c>
      <c r="T170" s="18">
        <f t="shared" si="2"/>
        <v>5074719.1515274458</v>
      </c>
      <c r="U170" s="12" t="s">
        <v>30</v>
      </c>
      <c r="V170" s="12" t="s">
        <v>9</v>
      </c>
      <c r="W170" s="19">
        <v>1697230.4854606839</v>
      </c>
    </row>
    <row r="171" spans="3:23" x14ac:dyDescent="0.3">
      <c r="C171" s="12">
        <v>2035</v>
      </c>
      <c r="D171" s="12" t="s">
        <v>75</v>
      </c>
      <c r="E171" s="12" t="s">
        <v>76</v>
      </c>
      <c r="F171" s="12" t="s">
        <v>33</v>
      </c>
      <c r="G171" s="12" t="s">
        <v>34</v>
      </c>
      <c r="H171" s="12" t="s">
        <v>26</v>
      </c>
      <c r="I171" s="12" t="s">
        <v>27</v>
      </c>
      <c r="J171" s="12" t="s">
        <v>28</v>
      </c>
      <c r="K171" s="12" t="s">
        <v>29</v>
      </c>
      <c r="L171" s="12" t="s">
        <v>2</v>
      </c>
      <c r="M171" s="12" t="s">
        <v>2</v>
      </c>
      <c r="N171" s="12" t="s">
        <v>105</v>
      </c>
      <c r="O171" s="12" t="s">
        <v>105</v>
      </c>
      <c r="P171" s="12" t="s">
        <v>101</v>
      </c>
      <c r="Q171" s="12" t="s">
        <v>118</v>
      </c>
      <c r="R171" s="12" t="s">
        <v>170</v>
      </c>
      <c r="S171" s="18">
        <f>_xlfn.XLOOKUP(R171,'Price Assumptions'!E:E,'Price Assumptions'!G:G)</f>
        <v>2.99</v>
      </c>
      <c r="T171" s="18">
        <f t="shared" si="2"/>
        <v>8329652.3533829739</v>
      </c>
      <c r="U171" s="12" t="s">
        <v>30</v>
      </c>
      <c r="V171" s="12" t="s">
        <v>9</v>
      </c>
      <c r="W171" s="19">
        <v>2785836.9074859442</v>
      </c>
    </row>
    <row r="172" spans="3:23" x14ac:dyDescent="0.3">
      <c r="C172" s="12">
        <v>2035</v>
      </c>
      <c r="D172" s="12" t="s">
        <v>77</v>
      </c>
      <c r="E172" s="12" t="s">
        <v>78</v>
      </c>
      <c r="F172" s="12" t="s">
        <v>33</v>
      </c>
      <c r="G172" s="12" t="s">
        <v>34</v>
      </c>
      <c r="H172" s="12" t="s">
        <v>26</v>
      </c>
      <c r="I172" s="12" t="s">
        <v>27</v>
      </c>
      <c r="J172" s="12" t="s">
        <v>28</v>
      </c>
      <c r="K172" s="12" t="s">
        <v>29</v>
      </c>
      <c r="L172" s="12" t="s">
        <v>2</v>
      </c>
      <c r="M172" s="12" t="s">
        <v>2</v>
      </c>
      <c r="N172" s="12" t="s">
        <v>105</v>
      </c>
      <c r="O172" s="12" t="s">
        <v>105</v>
      </c>
      <c r="P172" s="12" t="s">
        <v>100</v>
      </c>
      <c r="Q172" s="12" t="s">
        <v>100</v>
      </c>
      <c r="R172" s="12" t="s">
        <v>169</v>
      </c>
      <c r="S172" s="18">
        <f>_xlfn.XLOOKUP(R172,'Price Assumptions'!E:E,'Price Assumptions'!G:G)</f>
        <v>5</v>
      </c>
      <c r="T172" s="18">
        <f t="shared" si="2"/>
        <v>10561222.825509438</v>
      </c>
      <c r="U172" s="12" t="s">
        <v>30</v>
      </c>
      <c r="V172" s="12" t="s">
        <v>9</v>
      </c>
      <c r="W172" s="19">
        <v>2112244.5651018876</v>
      </c>
    </row>
    <row r="173" spans="3:23" x14ac:dyDescent="0.3">
      <c r="C173" s="12">
        <v>2035</v>
      </c>
      <c r="D173" s="12" t="s">
        <v>81</v>
      </c>
      <c r="E173" s="12" t="s">
        <v>82</v>
      </c>
      <c r="F173" s="12" t="s">
        <v>33</v>
      </c>
      <c r="G173" s="12" t="s">
        <v>34</v>
      </c>
      <c r="H173" s="12" t="s">
        <v>26</v>
      </c>
      <c r="I173" s="12" t="s">
        <v>27</v>
      </c>
      <c r="J173" s="12" t="s">
        <v>28</v>
      </c>
      <c r="K173" s="12" t="s">
        <v>29</v>
      </c>
      <c r="L173" s="12" t="s">
        <v>2</v>
      </c>
      <c r="M173" s="12" t="s">
        <v>2</v>
      </c>
      <c r="N173" s="12" t="s">
        <v>106</v>
      </c>
      <c r="O173" s="12" t="s">
        <v>106</v>
      </c>
      <c r="P173" s="12" t="s">
        <v>100</v>
      </c>
      <c r="Q173" s="12" t="s">
        <v>100</v>
      </c>
      <c r="R173" s="12" t="s">
        <v>169</v>
      </c>
      <c r="S173" s="18">
        <f>_xlfn.XLOOKUP(R173,'Price Assumptions'!E:E,'Price Assumptions'!G:G)</f>
        <v>5</v>
      </c>
      <c r="T173" s="18">
        <f t="shared" si="2"/>
        <v>3581485.158562501</v>
      </c>
      <c r="U173" s="12" t="s">
        <v>30</v>
      </c>
      <c r="V173" s="12" t="s">
        <v>9</v>
      </c>
      <c r="W173" s="19">
        <v>716297.03171250015</v>
      </c>
    </row>
    <row r="174" spans="3:23" x14ac:dyDescent="0.3">
      <c r="C174" s="12">
        <v>2035</v>
      </c>
      <c r="D174" s="12" t="s">
        <v>83</v>
      </c>
      <c r="E174" s="12" t="s">
        <v>84</v>
      </c>
      <c r="F174" s="12" t="s">
        <v>25</v>
      </c>
      <c r="G174" s="12" t="s">
        <v>34</v>
      </c>
      <c r="H174" s="12" t="s">
        <v>26</v>
      </c>
      <c r="I174" s="12" t="s">
        <v>27</v>
      </c>
      <c r="J174" s="12" t="s">
        <v>28</v>
      </c>
      <c r="K174" s="12" t="s">
        <v>29</v>
      </c>
      <c r="L174" s="12" t="s">
        <v>2</v>
      </c>
      <c r="M174" s="12" t="s">
        <v>2</v>
      </c>
      <c r="N174" s="12" t="s">
        <v>107</v>
      </c>
      <c r="O174" s="12" t="s">
        <v>107</v>
      </c>
      <c r="P174" s="12" t="s">
        <v>108</v>
      </c>
      <c r="Q174" s="12" t="s">
        <v>120</v>
      </c>
      <c r="R174" s="12" t="s">
        <v>171</v>
      </c>
      <c r="S174" s="18">
        <f>_xlfn.XLOOKUP(R174,'Price Assumptions'!E:E,'Price Assumptions'!G:G)</f>
        <v>2.99</v>
      </c>
      <c r="T174" s="18">
        <f t="shared" si="2"/>
        <v>1134935.2149774991</v>
      </c>
      <c r="U174" s="12" t="s">
        <v>30</v>
      </c>
      <c r="V174" s="12" t="s">
        <v>9</v>
      </c>
      <c r="W174" s="19">
        <v>379576.9949757522</v>
      </c>
    </row>
    <row r="175" spans="3:23" x14ac:dyDescent="0.3">
      <c r="C175" s="12">
        <v>2035</v>
      </c>
      <c r="D175" s="12" t="s">
        <v>85</v>
      </c>
      <c r="E175" s="12" t="s">
        <v>86</v>
      </c>
      <c r="F175" s="12" t="s">
        <v>25</v>
      </c>
      <c r="G175" s="12" t="s">
        <v>87</v>
      </c>
      <c r="H175" s="12" t="s">
        <v>26</v>
      </c>
      <c r="I175" s="12" t="s">
        <v>27</v>
      </c>
      <c r="J175" s="12" t="s">
        <v>28</v>
      </c>
      <c r="K175" s="12" t="s">
        <v>29</v>
      </c>
      <c r="L175" s="12" t="s">
        <v>2</v>
      </c>
      <c r="M175" s="12" t="s">
        <v>2</v>
      </c>
      <c r="N175" s="12" t="s">
        <v>103</v>
      </c>
      <c r="O175" s="12" t="s">
        <v>103</v>
      </c>
      <c r="P175" s="12" t="s">
        <v>101</v>
      </c>
      <c r="Q175" s="12" t="s">
        <v>118</v>
      </c>
      <c r="R175" s="12" t="s">
        <v>170</v>
      </c>
      <c r="S175" s="18">
        <f>_xlfn.XLOOKUP(R175,'Price Assumptions'!E:E,'Price Assumptions'!G:G)</f>
        <v>2.99</v>
      </c>
      <c r="T175" s="18">
        <f t="shared" si="2"/>
        <v>7183495.3683554102</v>
      </c>
      <c r="U175" s="12" t="s">
        <v>30</v>
      </c>
      <c r="V175" s="12" t="s">
        <v>9</v>
      </c>
      <c r="W175" s="19">
        <v>2402506.812159</v>
      </c>
    </row>
    <row r="176" spans="3:23" x14ac:dyDescent="0.3">
      <c r="C176" s="12">
        <v>2024</v>
      </c>
      <c r="D176" s="12" t="s">
        <v>35</v>
      </c>
      <c r="E176" s="12" t="s">
        <v>36</v>
      </c>
      <c r="F176" s="12" t="s">
        <v>33</v>
      </c>
      <c r="G176" s="12" t="s">
        <v>34</v>
      </c>
      <c r="H176" s="12" t="s">
        <v>109</v>
      </c>
      <c r="I176" s="12" t="s">
        <v>27</v>
      </c>
      <c r="J176" s="12" t="s">
        <v>96</v>
      </c>
      <c r="K176" s="12" t="s">
        <v>29</v>
      </c>
      <c r="L176" s="12" t="s">
        <v>2</v>
      </c>
      <c r="M176" s="12" t="s">
        <v>2</v>
      </c>
      <c r="N176" s="12" t="s">
        <v>104</v>
      </c>
      <c r="O176" s="12" t="s">
        <v>104</v>
      </c>
      <c r="P176" s="12" t="s">
        <v>100</v>
      </c>
      <c r="Q176" s="12" t="s">
        <v>100</v>
      </c>
      <c r="R176" s="12" t="s">
        <v>139</v>
      </c>
      <c r="S176" s="18">
        <f>_xlfn.XLOOKUP(R176,'Price Assumptions'!E:E,'Price Assumptions'!G:G)</f>
        <v>10.974</v>
      </c>
      <c r="T176" s="18">
        <f t="shared" si="2"/>
        <v>1865175.2833879692</v>
      </c>
      <c r="U176" s="12" t="s">
        <v>30</v>
      </c>
      <c r="V176" s="12" t="s">
        <v>9</v>
      </c>
      <c r="W176" s="19">
        <v>169963.12041078633</v>
      </c>
    </row>
    <row r="177" spans="3:23" x14ac:dyDescent="0.3">
      <c r="C177" s="12">
        <v>2024</v>
      </c>
      <c r="D177" s="12" t="s">
        <v>41</v>
      </c>
      <c r="E177" s="12" t="s">
        <v>42</v>
      </c>
      <c r="F177" s="12" t="s">
        <v>33</v>
      </c>
      <c r="G177" s="12" t="s">
        <v>34</v>
      </c>
      <c r="H177" s="12" t="s">
        <v>109</v>
      </c>
      <c r="I177" s="12" t="s">
        <v>27</v>
      </c>
      <c r="J177" s="12" t="s">
        <v>96</v>
      </c>
      <c r="K177" s="12" t="s">
        <v>29</v>
      </c>
      <c r="L177" s="12" t="s">
        <v>2</v>
      </c>
      <c r="M177" s="12" t="s">
        <v>2</v>
      </c>
      <c r="N177" s="12" t="s">
        <v>99</v>
      </c>
      <c r="O177" s="12" t="s">
        <v>99</v>
      </c>
      <c r="P177" s="12" t="s">
        <v>100</v>
      </c>
      <c r="Q177" s="12" t="s">
        <v>100</v>
      </c>
      <c r="R177" s="12" t="s">
        <v>139</v>
      </c>
      <c r="S177" s="18">
        <f>_xlfn.XLOOKUP(R177,'Price Assumptions'!E:E,'Price Assumptions'!G:G)</f>
        <v>10.974</v>
      </c>
      <c r="T177" s="18">
        <f t="shared" si="2"/>
        <v>5905378.7944425009</v>
      </c>
      <c r="U177" s="12" t="s">
        <v>30</v>
      </c>
      <c r="V177" s="12" t="s">
        <v>9</v>
      </c>
      <c r="W177" s="19">
        <v>538124.54842741939</v>
      </c>
    </row>
    <row r="178" spans="3:23" x14ac:dyDescent="0.3">
      <c r="C178" s="12">
        <v>2024</v>
      </c>
      <c r="D178" s="12" t="s">
        <v>49</v>
      </c>
      <c r="E178" s="12" t="s">
        <v>50</v>
      </c>
      <c r="F178" s="12" t="s">
        <v>33</v>
      </c>
      <c r="G178" s="12" t="s">
        <v>34</v>
      </c>
      <c r="H178" s="12" t="s">
        <v>109</v>
      </c>
      <c r="I178" s="12" t="s">
        <v>27</v>
      </c>
      <c r="J178" s="12" t="s">
        <v>110</v>
      </c>
      <c r="K178" s="12" t="s">
        <v>111</v>
      </c>
      <c r="L178" s="12" t="s">
        <v>2</v>
      </c>
      <c r="M178" s="12" t="s">
        <v>2</v>
      </c>
      <c r="N178" s="12" t="s">
        <v>105</v>
      </c>
      <c r="O178" s="12" t="s">
        <v>105</v>
      </c>
      <c r="P178" s="12" t="s">
        <v>101</v>
      </c>
      <c r="Q178" s="12" t="s">
        <v>118</v>
      </c>
      <c r="R178" s="12" t="s">
        <v>140</v>
      </c>
      <c r="S178" s="18">
        <f>_xlfn.XLOOKUP(R178,'Price Assumptions'!E:E,'Price Assumptions'!G:G)</f>
        <v>3.9</v>
      </c>
      <c r="T178" s="18">
        <f t="shared" si="2"/>
        <v>1192454.3321555443</v>
      </c>
      <c r="U178" s="12" t="s">
        <v>30</v>
      </c>
      <c r="V178" s="12" t="s">
        <v>9</v>
      </c>
      <c r="W178" s="19">
        <v>305757.5210655242</v>
      </c>
    </row>
    <row r="179" spans="3:23" x14ac:dyDescent="0.3">
      <c r="C179" s="12">
        <v>2024</v>
      </c>
      <c r="D179" s="12" t="s">
        <v>57</v>
      </c>
      <c r="E179" s="12" t="s">
        <v>58</v>
      </c>
      <c r="F179" s="12" t="s">
        <v>33</v>
      </c>
      <c r="G179" s="12" t="s">
        <v>34</v>
      </c>
      <c r="H179" s="12" t="s">
        <v>109</v>
      </c>
      <c r="I179" s="12" t="s">
        <v>27</v>
      </c>
      <c r="J179" s="12" t="s">
        <v>110</v>
      </c>
      <c r="K179" s="12" t="s">
        <v>111</v>
      </c>
      <c r="L179" s="12" t="s">
        <v>2</v>
      </c>
      <c r="M179" s="12" t="s">
        <v>2</v>
      </c>
      <c r="N179" s="12" t="s">
        <v>99</v>
      </c>
      <c r="O179" s="12" t="s">
        <v>99</v>
      </c>
      <c r="P179" s="12" t="s">
        <v>101</v>
      </c>
      <c r="Q179" s="12" t="s">
        <v>118</v>
      </c>
      <c r="R179" s="12" t="s">
        <v>140</v>
      </c>
      <c r="S179" s="18">
        <f>_xlfn.XLOOKUP(R179,'Price Assumptions'!E:E,'Price Assumptions'!G:G)</f>
        <v>3.9</v>
      </c>
      <c r="T179" s="18">
        <f t="shared" si="2"/>
        <v>4409693.2966052983</v>
      </c>
      <c r="U179" s="12" t="s">
        <v>30</v>
      </c>
      <c r="V179" s="12" t="s">
        <v>9</v>
      </c>
      <c r="W179" s="19">
        <v>1130690.5888731536</v>
      </c>
    </row>
    <row r="180" spans="3:23" x14ac:dyDescent="0.3">
      <c r="C180" s="12">
        <v>2024</v>
      </c>
      <c r="D180" s="12" t="s">
        <v>63</v>
      </c>
      <c r="E180" s="12" t="s">
        <v>64</v>
      </c>
      <c r="F180" s="12" t="s">
        <v>33</v>
      </c>
      <c r="G180" s="12" t="s">
        <v>34</v>
      </c>
      <c r="H180" s="12" t="s">
        <v>109</v>
      </c>
      <c r="I180" s="12" t="s">
        <v>27</v>
      </c>
      <c r="J180" s="12" t="s">
        <v>110</v>
      </c>
      <c r="K180" s="12" t="s">
        <v>111</v>
      </c>
      <c r="L180" s="12" t="s">
        <v>2</v>
      </c>
      <c r="M180" s="12" t="s">
        <v>2</v>
      </c>
      <c r="N180" s="12" t="s">
        <v>99</v>
      </c>
      <c r="O180" s="12" t="s">
        <v>99</v>
      </c>
      <c r="P180" s="12" t="s">
        <v>100</v>
      </c>
      <c r="Q180" s="12" t="s">
        <v>100</v>
      </c>
      <c r="R180" s="12" t="s">
        <v>139</v>
      </c>
      <c r="S180" s="18">
        <f>_xlfn.XLOOKUP(R180,'Price Assumptions'!E:E,'Price Assumptions'!G:G)</f>
        <v>10.974</v>
      </c>
      <c r="T180" s="18">
        <f t="shared" si="2"/>
        <v>4468225.2672395529</v>
      </c>
      <c r="U180" s="12" t="s">
        <v>30</v>
      </c>
      <c r="V180" s="12" t="s">
        <v>9</v>
      </c>
      <c r="W180" s="19">
        <v>407164.68628025812</v>
      </c>
    </row>
    <row r="181" spans="3:23" x14ac:dyDescent="0.3">
      <c r="C181" s="12">
        <v>2024</v>
      </c>
      <c r="D181" s="12" t="s">
        <v>79</v>
      </c>
      <c r="E181" s="12" t="s">
        <v>80</v>
      </c>
      <c r="F181" s="12" t="s">
        <v>33</v>
      </c>
      <c r="G181" s="12" t="s">
        <v>34</v>
      </c>
      <c r="H181" s="12" t="s">
        <v>109</v>
      </c>
      <c r="I181" s="12" t="s">
        <v>27</v>
      </c>
      <c r="J181" s="12" t="s">
        <v>110</v>
      </c>
      <c r="K181" s="12" t="s">
        <v>111</v>
      </c>
      <c r="L181" s="12" t="s">
        <v>2</v>
      </c>
      <c r="M181" s="12" t="s">
        <v>2</v>
      </c>
      <c r="N181" s="12" t="s">
        <v>103</v>
      </c>
      <c r="O181" s="12" t="s">
        <v>103</v>
      </c>
      <c r="P181" s="12" t="s">
        <v>101</v>
      </c>
      <c r="Q181" s="12" t="s">
        <v>118</v>
      </c>
      <c r="R181" s="12" t="s">
        <v>140</v>
      </c>
      <c r="S181" s="18">
        <f>_xlfn.XLOOKUP(R181,'Price Assumptions'!E:E,'Price Assumptions'!G:G)</f>
        <v>3.9</v>
      </c>
      <c r="T181" s="18">
        <f t="shared" si="2"/>
        <v>943966.55743883527</v>
      </c>
      <c r="U181" s="12" t="s">
        <v>30</v>
      </c>
      <c r="V181" s="12" t="s">
        <v>9</v>
      </c>
      <c r="W181" s="19">
        <v>242042.70703559878</v>
      </c>
    </row>
    <row r="182" spans="3:23" x14ac:dyDescent="0.3">
      <c r="C182" s="12">
        <v>2025</v>
      </c>
      <c r="D182" s="12" t="s">
        <v>35</v>
      </c>
      <c r="E182" s="12" t="s">
        <v>36</v>
      </c>
      <c r="F182" s="12" t="s">
        <v>33</v>
      </c>
      <c r="G182" s="12" t="s">
        <v>34</v>
      </c>
      <c r="H182" s="12" t="s">
        <v>109</v>
      </c>
      <c r="I182" s="12" t="s">
        <v>27</v>
      </c>
      <c r="J182" s="12" t="s">
        <v>96</v>
      </c>
      <c r="K182" s="12" t="s">
        <v>29</v>
      </c>
      <c r="L182" s="12" t="s">
        <v>2</v>
      </c>
      <c r="M182" s="12" t="s">
        <v>2</v>
      </c>
      <c r="N182" s="12" t="s">
        <v>104</v>
      </c>
      <c r="O182" s="12" t="s">
        <v>104</v>
      </c>
      <c r="P182" s="12" t="s">
        <v>100</v>
      </c>
      <c r="Q182" s="12" t="s">
        <v>100</v>
      </c>
      <c r="R182" s="12" t="s">
        <v>142</v>
      </c>
      <c r="S182" s="18">
        <f>_xlfn.XLOOKUP(R182,'Price Assumptions'!E:E,'Price Assumptions'!G:G)</f>
        <v>10.974</v>
      </c>
      <c r="T182" s="18">
        <f t="shared" si="2"/>
        <v>2762101.3205825808</v>
      </c>
      <c r="U182" s="12" t="s">
        <v>30</v>
      </c>
      <c r="V182" s="12" t="s">
        <v>9</v>
      </c>
      <c r="W182" s="19">
        <v>251695.03559163303</v>
      </c>
    </row>
    <row r="183" spans="3:23" x14ac:dyDescent="0.3">
      <c r="C183" s="12">
        <v>2025</v>
      </c>
      <c r="D183" s="12" t="s">
        <v>41</v>
      </c>
      <c r="E183" s="12" t="s">
        <v>42</v>
      </c>
      <c r="F183" s="12" t="s">
        <v>33</v>
      </c>
      <c r="G183" s="12" t="s">
        <v>34</v>
      </c>
      <c r="H183" s="12" t="s">
        <v>109</v>
      </c>
      <c r="I183" s="12" t="s">
        <v>27</v>
      </c>
      <c r="J183" s="12" t="s">
        <v>96</v>
      </c>
      <c r="K183" s="12" t="s">
        <v>29</v>
      </c>
      <c r="L183" s="12" t="s">
        <v>2</v>
      </c>
      <c r="M183" s="12" t="s">
        <v>2</v>
      </c>
      <c r="N183" s="12" t="s">
        <v>99</v>
      </c>
      <c r="O183" s="12" t="s">
        <v>99</v>
      </c>
      <c r="P183" s="12" t="s">
        <v>100</v>
      </c>
      <c r="Q183" s="12" t="s">
        <v>100</v>
      </c>
      <c r="R183" s="12" t="s">
        <v>142</v>
      </c>
      <c r="S183" s="18">
        <f>_xlfn.XLOOKUP(R183,'Price Assumptions'!E:E,'Price Assumptions'!G:G)</f>
        <v>10.974</v>
      </c>
      <c r="T183" s="18">
        <f t="shared" si="2"/>
        <v>6348593.5893140864</v>
      </c>
      <c r="U183" s="12" t="s">
        <v>30</v>
      </c>
      <c r="V183" s="12" t="s">
        <v>9</v>
      </c>
      <c r="W183" s="19">
        <v>578512.26438072592</v>
      </c>
    </row>
    <row r="184" spans="3:23" x14ac:dyDescent="0.3">
      <c r="C184" s="12">
        <v>2025</v>
      </c>
      <c r="D184" s="12" t="s">
        <v>49</v>
      </c>
      <c r="E184" s="12" t="s">
        <v>50</v>
      </c>
      <c r="F184" s="12" t="s">
        <v>33</v>
      </c>
      <c r="G184" s="12" t="s">
        <v>34</v>
      </c>
      <c r="H184" s="12" t="s">
        <v>109</v>
      </c>
      <c r="I184" s="12" t="s">
        <v>27</v>
      </c>
      <c r="J184" s="12" t="s">
        <v>110</v>
      </c>
      <c r="K184" s="12" t="s">
        <v>111</v>
      </c>
      <c r="L184" s="12" t="s">
        <v>2</v>
      </c>
      <c r="M184" s="12" t="s">
        <v>2</v>
      </c>
      <c r="N184" s="12" t="s">
        <v>105</v>
      </c>
      <c r="O184" s="12" t="s">
        <v>105</v>
      </c>
      <c r="P184" s="12" t="s">
        <v>101</v>
      </c>
      <c r="Q184" s="12" t="s">
        <v>118</v>
      </c>
      <c r="R184" s="12" t="s">
        <v>141</v>
      </c>
      <c r="S184" s="18">
        <f>_xlfn.XLOOKUP(R184,'Price Assumptions'!E:E,'Price Assumptions'!G:G)</f>
        <v>3.9</v>
      </c>
      <c r="T184" s="18">
        <f t="shared" si="2"/>
        <v>5435716.8230805844</v>
      </c>
      <c r="U184" s="12" t="s">
        <v>30</v>
      </c>
      <c r="V184" s="12" t="s">
        <v>9</v>
      </c>
      <c r="W184" s="19">
        <v>1393773.5443796371</v>
      </c>
    </row>
    <row r="185" spans="3:23" x14ac:dyDescent="0.3">
      <c r="C185" s="12">
        <v>2025</v>
      </c>
      <c r="D185" s="12" t="s">
        <v>57</v>
      </c>
      <c r="E185" s="12" t="s">
        <v>58</v>
      </c>
      <c r="F185" s="12" t="s">
        <v>33</v>
      </c>
      <c r="G185" s="12" t="s">
        <v>34</v>
      </c>
      <c r="H185" s="12" t="s">
        <v>109</v>
      </c>
      <c r="I185" s="12" t="s">
        <v>27</v>
      </c>
      <c r="J185" s="12" t="s">
        <v>110</v>
      </c>
      <c r="K185" s="12" t="s">
        <v>111</v>
      </c>
      <c r="L185" s="12" t="s">
        <v>2</v>
      </c>
      <c r="M185" s="12" t="s">
        <v>2</v>
      </c>
      <c r="N185" s="12" t="s">
        <v>99</v>
      </c>
      <c r="O185" s="12" t="s">
        <v>99</v>
      </c>
      <c r="P185" s="12" t="s">
        <v>101</v>
      </c>
      <c r="Q185" s="12" t="s">
        <v>118</v>
      </c>
      <c r="R185" s="12" t="s">
        <v>141</v>
      </c>
      <c r="S185" s="18">
        <f>_xlfn.XLOOKUP(R185,'Price Assumptions'!E:E,'Price Assumptions'!G:G)</f>
        <v>3.9</v>
      </c>
      <c r="T185" s="18">
        <f t="shared" si="2"/>
        <v>8684875.4816970713</v>
      </c>
      <c r="U185" s="12" t="s">
        <v>30</v>
      </c>
      <c r="V185" s="12" t="s">
        <v>9</v>
      </c>
      <c r="W185" s="19">
        <v>2226891.1491530952</v>
      </c>
    </row>
    <row r="186" spans="3:23" x14ac:dyDescent="0.3">
      <c r="C186" s="12">
        <v>2025</v>
      </c>
      <c r="D186" s="12" t="s">
        <v>59</v>
      </c>
      <c r="E186" s="12" t="s">
        <v>60</v>
      </c>
      <c r="F186" s="12" t="s">
        <v>33</v>
      </c>
      <c r="G186" s="12" t="s">
        <v>34</v>
      </c>
      <c r="H186" s="12" t="s">
        <v>109</v>
      </c>
      <c r="I186" s="12" t="s">
        <v>27</v>
      </c>
      <c r="J186" s="12" t="s">
        <v>96</v>
      </c>
      <c r="K186" s="12" t="s">
        <v>29</v>
      </c>
      <c r="L186" s="12" t="s">
        <v>2</v>
      </c>
      <c r="M186" s="12" t="s">
        <v>2</v>
      </c>
      <c r="N186" s="12" t="s">
        <v>107</v>
      </c>
      <c r="O186" s="12" t="s">
        <v>107</v>
      </c>
      <c r="P186" s="12" t="s">
        <v>108</v>
      </c>
      <c r="Q186" s="12" t="s">
        <v>100</v>
      </c>
      <c r="R186" s="12" t="s">
        <v>142</v>
      </c>
      <c r="S186" s="18">
        <f>_xlfn.XLOOKUP(R186,'Price Assumptions'!E:E,'Price Assumptions'!G:G)</f>
        <v>10.974</v>
      </c>
      <c r="T186" s="18">
        <f t="shared" si="2"/>
        <v>609639.76171920262</v>
      </c>
      <c r="U186" s="12" t="s">
        <v>30</v>
      </c>
      <c r="V186" s="12" t="s">
        <v>9</v>
      </c>
      <c r="W186" s="19">
        <v>55553.103856315167</v>
      </c>
    </row>
    <row r="187" spans="3:23" x14ac:dyDescent="0.3">
      <c r="C187" s="12">
        <v>2025</v>
      </c>
      <c r="D187" s="12" t="s">
        <v>63</v>
      </c>
      <c r="E187" s="12" t="s">
        <v>64</v>
      </c>
      <c r="F187" s="12" t="s">
        <v>33</v>
      </c>
      <c r="G187" s="12" t="s">
        <v>34</v>
      </c>
      <c r="H187" s="12" t="s">
        <v>109</v>
      </c>
      <c r="I187" s="12" t="s">
        <v>27</v>
      </c>
      <c r="J187" s="12" t="s">
        <v>110</v>
      </c>
      <c r="K187" s="12" t="s">
        <v>111</v>
      </c>
      <c r="L187" s="12" t="s">
        <v>2</v>
      </c>
      <c r="M187" s="12" t="s">
        <v>2</v>
      </c>
      <c r="N187" s="12" t="s">
        <v>99</v>
      </c>
      <c r="O187" s="12" t="s">
        <v>99</v>
      </c>
      <c r="P187" s="12" t="s">
        <v>100</v>
      </c>
      <c r="Q187" s="12" t="s">
        <v>100</v>
      </c>
      <c r="R187" s="12" t="s">
        <v>142</v>
      </c>
      <c r="S187" s="18">
        <f>_xlfn.XLOOKUP(R187,'Price Assumptions'!E:E,'Price Assumptions'!G:G)</f>
        <v>10.974</v>
      </c>
      <c r="T187" s="18">
        <f t="shared" si="2"/>
        <v>5026003.9400412589</v>
      </c>
      <c r="U187" s="12" t="s">
        <v>30</v>
      </c>
      <c r="V187" s="12" t="s">
        <v>9</v>
      </c>
      <c r="W187" s="19">
        <v>457991.9755824001</v>
      </c>
    </row>
    <row r="188" spans="3:23" x14ac:dyDescent="0.3">
      <c r="C188" s="12">
        <v>2025</v>
      </c>
      <c r="D188" s="12" t="s">
        <v>79</v>
      </c>
      <c r="E188" s="12" t="s">
        <v>80</v>
      </c>
      <c r="F188" s="12" t="s">
        <v>33</v>
      </c>
      <c r="G188" s="12" t="s">
        <v>34</v>
      </c>
      <c r="H188" s="12" t="s">
        <v>109</v>
      </c>
      <c r="I188" s="12" t="s">
        <v>27</v>
      </c>
      <c r="J188" s="12" t="s">
        <v>110</v>
      </c>
      <c r="K188" s="12" t="s">
        <v>111</v>
      </c>
      <c r="L188" s="12" t="s">
        <v>2</v>
      </c>
      <c r="M188" s="12" t="s">
        <v>2</v>
      </c>
      <c r="N188" s="12" t="s">
        <v>103</v>
      </c>
      <c r="O188" s="12" t="s">
        <v>103</v>
      </c>
      <c r="P188" s="12" t="s">
        <v>101</v>
      </c>
      <c r="Q188" s="12" t="s">
        <v>118</v>
      </c>
      <c r="R188" s="12" t="s">
        <v>141</v>
      </c>
      <c r="S188" s="18">
        <f>_xlfn.XLOOKUP(R188,'Price Assumptions'!E:E,'Price Assumptions'!G:G)</f>
        <v>3.9</v>
      </c>
      <c r="T188" s="18">
        <f t="shared" si="2"/>
        <v>12003704.560955087</v>
      </c>
      <c r="U188" s="12" t="s">
        <v>30</v>
      </c>
      <c r="V188" s="12" t="s">
        <v>9</v>
      </c>
      <c r="W188" s="19">
        <v>3077872.964347458</v>
      </c>
    </row>
    <row r="189" spans="3:23" x14ac:dyDescent="0.3">
      <c r="C189" s="12">
        <v>2025</v>
      </c>
      <c r="D189" s="12" t="s">
        <v>94</v>
      </c>
      <c r="E189" s="12" t="s">
        <v>95</v>
      </c>
      <c r="F189" s="12" t="s">
        <v>33</v>
      </c>
      <c r="G189" s="12" t="s">
        <v>34</v>
      </c>
      <c r="H189" s="12" t="s">
        <v>109</v>
      </c>
      <c r="I189" s="12" t="s">
        <v>27</v>
      </c>
      <c r="J189" s="12" t="s">
        <v>96</v>
      </c>
      <c r="K189" s="12" t="s">
        <v>29</v>
      </c>
      <c r="L189" s="12" t="s">
        <v>2</v>
      </c>
      <c r="M189" s="12" t="s">
        <v>2</v>
      </c>
      <c r="N189" s="12" t="s">
        <v>107</v>
      </c>
      <c r="O189" s="12" t="s">
        <v>107</v>
      </c>
      <c r="P189" s="12" t="s">
        <v>108</v>
      </c>
      <c r="Q189" s="12" t="s">
        <v>118</v>
      </c>
      <c r="R189" s="12" t="s">
        <v>141</v>
      </c>
      <c r="S189" s="18">
        <f>_xlfn.XLOOKUP(R189,'Price Assumptions'!E:E,'Price Assumptions'!G:G)</f>
        <v>3.9</v>
      </c>
      <c r="T189" s="18">
        <f t="shared" si="2"/>
        <v>630512.16642253136</v>
      </c>
      <c r="U189" s="12" t="s">
        <v>30</v>
      </c>
      <c r="V189" s="12" t="s">
        <v>9</v>
      </c>
      <c r="W189" s="19">
        <v>161669.78626218752</v>
      </c>
    </row>
    <row r="190" spans="3:23" x14ac:dyDescent="0.3">
      <c r="C190" s="12">
        <v>2026</v>
      </c>
      <c r="D190" s="12" t="s">
        <v>35</v>
      </c>
      <c r="E190" s="12" t="s">
        <v>36</v>
      </c>
      <c r="F190" s="12" t="s">
        <v>33</v>
      </c>
      <c r="G190" s="12" t="s">
        <v>34</v>
      </c>
      <c r="H190" s="12" t="s">
        <v>109</v>
      </c>
      <c r="I190" s="12" t="s">
        <v>27</v>
      </c>
      <c r="J190" s="12" t="s">
        <v>96</v>
      </c>
      <c r="K190" s="12" t="s">
        <v>29</v>
      </c>
      <c r="L190" s="12" t="s">
        <v>2</v>
      </c>
      <c r="M190" s="12" t="s">
        <v>2</v>
      </c>
      <c r="N190" s="12" t="s">
        <v>104</v>
      </c>
      <c r="O190" s="12" t="s">
        <v>104</v>
      </c>
      <c r="P190" s="12" t="s">
        <v>100</v>
      </c>
      <c r="Q190" s="12" t="s">
        <v>100</v>
      </c>
      <c r="R190" s="12" t="s">
        <v>143</v>
      </c>
      <c r="S190" s="18">
        <f>_xlfn.XLOOKUP(R190,'Price Assumptions'!E:E,'Price Assumptions'!G:G)</f>
        <v>10.974</v>
      </c>
      <c r="T190" s="18">
        <f t="shared" si="2"/>
        <v>7973377.3019680493</v>
      </c>
      <c r="U190" s="12" t="s">
        <v>30</v>
      </c>
      <c r="V190" s="12" t="s">
        <v>9</v>
      </c>
      <c r="W190" s="19">
        <v>726569.82886532252</v>
      </c>
    </row>
    <row r="191" spans="3:23" x14ac:dyDescent="0.3">
      <c r="C191" s="12">
        <v>2026</v>
      </c>
      <c r="D191" s="12" t="s">
        <v>37</v>
      </c>
      <c r="E191" s="12" t="s">
        <v>38</v>
      </c>
      <c r="F191" s="12" t="s">
        <v>33</v>
      </c>
      <c r="G191" s="12" t="s">
        <v>34</v>
      </c>
      <c r="H191" s="12" t="s">
        <v>109</v>
      </c>
      <c r="I191" s="12" t="s">
        <v>27</v>
      </c>
      <c r="J191" s="12" t="s">
        <v>28</v>
      </c>
      <c r="K191" s="12" t="s">
        <v>29</v>
      </c>
      <c r="L191" s="12" t="s">
        <v>2</v>
      </c>
      <c r="M191" s="12" t="s">
        <v>2</v>
      </c>
      <c r="N191" s="12" t="s">
        <v>107</v>
      </c>
      <c r="O191" s="12" t="s">
        <v>99</v>
      </c>
      <c r="P191" s="12" t="s">
        <v>101</v>
      </c>
      <c r="Q191" s="12" t="s">
        <v>118</v>
      </c>
      <c r="R191" s="12" t="s">
        <v>144</v>
      </c>
      <c r="S191" s="18">
        <f>_xlfn.XLOOKUP(R191,'Price Assumptions'!E:E,'Price Assumptions'!G:G)</f>
        <v>3.9</v>
      </c>
      <c r="T191" s="18">
        <f t="shared" si="2"/>
        <v>8469634.2960567418</v>
      </c>
      <c r="U191" s="12" t="s">
        <v>30</v>
      </c>
      <c r="V191" s="12" t="s">
        <v>9</v>
      </c>
      <c r="W191" s="19">
        <v>2171701.1015530108</v>
      </c>
    </row>
    <row r="192" spans="3:23" x14ac:dyDescent="0.3">
      <c r="C192" s="12">
        <v>2026</v>
      </c>
      <c r="D192" s="12" t="s">
        <v>37</v>
      </c>
      <c r="E192" s="12" t="s">
        <v>38</v>
      </c>
      <c r="F192" s="12" t="s">
        <v>33</v>
      </c>
      <c r="G192" s="12" t="s">
        <v>34</v>
      </c>
      <c r="H192" s="12" t="s">
        <v>109</v>
      </c>
      <c r="I192" s="12" t="s">
        <v>27</v>
      </c>
      <c r="J192" s="12" t="s">
        <v>28</v>
      </c>
      <c r="K192" s="12" t="s">
        <v>29</v>
      </c>
      <c r="L192" s="12" t="s">
        <v>2</v>
      </c>
      <c r="M192" s="12" t="s">
        <v>2</v>
      </c>
      <c r="N192" s="12" t="s">
        <v>99</v>
      </c>
      <c r="O192" s="12" t="s">
        <v>99</v>
      </c>
      <c r="P192" s="12" t="s">
        <v>100</v>
      </c>
      <c r="Q192" s="12" t="s">
        <v>100</v>
      </c>
      <c r="R192" s="12" t="s">
        <v>143</v>
      </c>
      <c r="S192" s="18">
        <f>_xlfn.XLOOKUP(R192,'Price Assumptions'!E:E,'Price Assumptions'!G:G)</f>
        <v>10.974</v>
      </c>
      <c r="T192" s="18">
        <f t="shared" si="2"/>
        <v>987293.77331200021</v>
      </c>
      <c r="U192" s="12" t="s">
        <v>30</v>
      </c>
      <c r="V192" s="12" t="s">
        <v>9</v>
      </c>
      <c r="W192" s="19">
        <v>89966.627784946249</v>
      </c>
    </row>
    <row r="193" spans="3:23" x14ac:dyDescent="0.3">
      <c r="C193" s="12">
        <v>2026</v>
      </c>
      <c r="D193" s="12" t="s">
        <v>41</v>
      </c>
      <c r="E193" s="12" t="s">
        <v>42</v>
      </c>
      <c r="F193" s="12" t="s">
        <v>33</v>
      </c>
      <c r="G193" s="12" t="s">
        <v>34</v>
      </c>
      <c r="H193" s="12" t="s">
        <v>109</v>
      </c>
      <c r="I193" s="12" t="s">
        <v>27</v>
      </c>
      <c r="J193" s="12" t="s">
        <v>96</v>
      </c>
      <c r="K193" s="12" t="s">
        <v>29</v>
      </c>
      <c r="L193" s="12" t="s">
        <v>2</v>
      </c>
      <c r="M193" s="12" t="s">
        <v>2</v>
      </c>
      <c r="N193" s="12" t="s">
        <v>99</v>
      </c>
      <c r="O193" s="12" t="s">
        <v>99</v>
      </c>
      <c r="P193" s="12" t="s">
        <v>100</v>
      </c>
      <c r="Q193" s="12" t="s">
        <v>100</v>
      </c>
      <c r="R193" s="12" t="s">
        <v>143</v>
      </c>
      <c r="S193" s="18">
        <f>_xlfn.XLOOKUP(R193,'Price Assumptions'!E:E,'Price Assumptions'!G:G)</f>
        <v>10.974</v>
      </c>
      <c r="T193" s="18">
        <f t="shared" si="2"/>
        <v>17434351.418554489</v>
      </c>
      <c r="U193" s="12" t="s">
        <v>30</v>
      </c>
      <c r="V193" s="12" t="s">
        <v>9</v>
      </c>
      <c r="W193" s="19">
        <v>1588696.1380129841</v>
      </c>
    </row>
    <row r="194" spans="3:23" x14ac:dyDescent="0.3">
      <c r="C194" s="12">
        <v>2026</v>
      </c>
      <c r="D194" s="12" t="s">
        <v>47</v>
      </c>
      <c r="E194" s="12" t="s">
        <v>48</v>
      </c>
      <c r="F194" s="12" t="s">
        <v>33</v>
      </c>
      <c r="G194" s="12" t="s">
        <v>34</v>
      </c>
      <c r="H194" s="12" t="s">
        <v>109</v>
      </c>
      <c r="I194" s="12" t="s">
        <v>27</v>
      </c>
      <c r="J194" s="12" t="s">
        <v>110</v>
      </c>
      <c r="K194" s="12" t="s">
        <v>111</v>
      </c>
      <c r="L194" s="12" t="s">
        <v>2</v>
      </c>
      <c r="M194" s="12" t="s">
        <v>2</v>
      </c>
      <c r="N194" s="12" t="s">
        <v>107</v>
      </c>
      <c r="O194" s="12" t="s">
        <v>107</v>
      </c>
      <c r="P194" s="12" t="s">
        <v>108</v>
      </c>
      <c r="Q194" s="12" t="s">
        <v>120</v>
      </c>
      <c r="R194" s="12" t="s">
        <v>172</v>
      </c>
      <c r="S194" s="18">
        <f>_xlfn.XLOOKUP(R194,'Price Assumptions'!E:E,'Price Assumptions'!G:G)</f>
        <v>3.9</v>
      </c>
      <c r="T194" s="18">
        <f t="shared" si="2"/>
        <v>476636.93072963704</v>
      </c>
      <c r="U194" s="12" t="s">
        <v>30</v>
      </c>
      <c r="V194" s="12" t="s">
        <v>9</v>
      </c>
      <c r="W194" s="19">
        <v>122214.59762298386</v>
      </c>
    </row>
    <row r="195" spans="3:23" x14ac:dyDescent="0.3">
      <c r="C195" s="12">
        <v>2026</v>
      </c>
      <c r="D195" s="12" t="s">
        <v>49</v>
      </c>
      <c r="E195" s="12" t="s">
        <v>50</v>
      </c>
      <c r="F195" s="12" t="s">
        <v>33</v>
      </c>
      <c r="G195" s="12" t="s">
        <v>34</v>
      </c>
      <c r="H195" s="12" t="s">
        <v>109</v>
      </c>
      <c r="I195" s="12" t="s">
        <v>27</v>
      </c>
      <c r="J195" s="12" t="s">
        <v>110</v>
      </c>
      <c r="K195" s="12" t="s">
        <v>111</v>
      </c>
      <c r="L195" s="12" t="s">
        <v>2</v>
      </c>
      <c r="M195" s="12" t="s">
        <v>2</v>
      </c>
      <c r="N195" s="12" t="s">
        <v>105</v>
      </c>
      <c r="O195" s="12" t="s">
        <v>105</v>
      </c>
      <c r="P195" s="12" t="s">
        <v>101</v>
      </c>
      <c r="Q195" s="12" t="s">
        <v>118</v>
      </c>
      <c r="R195" s="12" t="s">
        <v>144</v>
      </c>
      <c r="S195" s="18">
        <f>_xlfn.XLOOKUP(R195,'Price Assumptions'!E:E,'Price Assumptions'!G:G)</f>
        <v>3.9</v>
      </c>
      <c r="T195" s="18">
        <f t="shared" si="2"/>
        <v>8724365.0091832429</v>
      </c>
      <c r="U195" s="12" t="s">
        <v>30</v>
      </c>
      <c r="V195" s="12" t="s">
        <v>9</v>
      </c>
      <c r="W195" s="19">
        <v>2237016.6690213443</v>
      </c>
    </row>
    <row r="196" spans="3:23" x14ac:dyDescent="0.3">
      <c r="C196" s="12">
        <v>2026</v>
      </c>
      <c r="D196" s="12" t="s">
        <v>53</v>
      </c>
      <c r="E196" s="12" t="s">
        <v>54</v>
      </c>
      <c r="F196" s="12" t="s">
        <v>33</v>
      </c>
      <c r="G196" s="12" t="s">
        <v>34</v>
      </c>
      <c r="H196" s="12" t="s">
        <v>109</v>
      </c>
      <c r="I196" s="12" t="s">
        <v>27</v>
      </c>
      <c r="J196" s="12" t="s">
        <v>28</v>
      </c>
      <c r="K196" s="12" t="s">
        <v>29</v>
      </c>
      <c r="L196" s="12" t="s">
        <v>2</v>
      </c>
      <c r="M196" s="12" t="s">
        <v>2</v>
      </c>
      <c r="N196" s="12" t="s">
        <v>107</v>
      </c>
      <c r="O196" s="12" t="s">
        <v>107</v>
      </c>
      <c r="P196" s="12" t="s">
        <v>108</v>
      </c>
      <c r="Q196" s="12" t="s">
        <v>118</v>
      </c>
      <c r="R196" s="12" t="s">
        <v>144</v>
      </c>
      <c r="S196" s="18">
        <f>_xlfn.XLOOKUP(R196,'Price Assumptions'!E:E,'Price Assumptions'!G:G)</f>
        <v>3.9</v>
      </c>
      <c r="T196" s="18">
        <f t="shared" si="2"/>
        <v>16870172.283956911</v>
      </c>
      <c r="U196" s="12" t="s">
        <v>30</v>
      </c>
      <c r="V196" s="12" t="s">
        <v>9</v>
      </c>
      <c r="W196" s="19">
        <v>4325685.2010145932</v>
      </c>
    </row>
    <row r="197" spans="3:23" x14ac:dyDescent="0.3">
      <c r="C197" s="12">
        <v>2026</v>
      </c>
      <c r="D197" s="12" t="s">
        <v>57</v>
      </c>
      <c r="E197" s="12" t="s">
        <v>58</v>
      </c>
      <c r="F197" s="12" t="s">
        <v>33</v>
      </c>
      <c r="G197" s="12" t="s">
        <v>34</v>
      </c>
      <c r="H197" s="12" t="s">
        <v>109</v>
      </c>
      <c r="I197" s="12" t="s">
        <v>27</v>
      </c>
      <c r="J197" s="12" t="s">
        <v>110</v>
      </c>
      <c r="K197" s="12" t="s">
        <v>111</v>
      </c>
      <c r="L197" s="12" t="s">
        <v>2</v>
      </c>
      <c r="M197" s="12" t="s">
        <v>2</v>
      </c>
      <c r="N197" s="12" t="s">
        <v>99</v>
      </c>
      <c r="O197" s="12" t="s">
        <v>99</v>
      </c>
      <c r="P197" s="12" t="s">
        <v>101</v>
      </c>
      <c r="Q197" s="12" t="s">
        <v>118</v>
      </c>
      <c r="R197" s="12" t="s">
        <v>144</v>
      </c>
      <c r="S197" s="18">
        <f>_xlfn.XLOOKUP(R197,'Price Assumptions'!E:E,'Price Assumptions'!G:G)</f>
        <v>3.9</v>
      </c>
      <c r="T197" s="18">
        <f t="shared" si="2"/>
        <v>8836593.2379158866</v>
      </c>
      <c r="U197" s="12" t="s">
        <v>30</v>
      </c>
      <c r="V197" s="12" t="s">
        <v>9</v>
      </c>
      <c r="W197" s="19">
        <v>2265793.1379271504</v>
      </c>
    </row>
    <row r="198" spans="3:23" x14ac:dyDescent="0.3">
      <c r="C198" s="12">
        <v>2026</v>
      </c>
      <c r="D198" s="12" t="s">
        <v>59</v>
      </c>
      <c r="E198" s="12" t="s">
        <v>60</v>
      </c>
      <c r="F198" s="12" t="s">
        <v>33</v>
      </c>
      <c r="G198" s="12" t="s">
        <v>34</v>
      </c>
      <c r="H198" s="12" t="s">
        <v>109</v>
      </c>
      <c r="I198" s="12" t="s">
        <v>27</v>
      </c>
      <c r="J198" s="12" t="s">
        <v>96</v>
      </c>
      <c r="K198" s="12" t="s">
        <v>29</v>
      </c>
      <c r="L198" s="12" t="s">
        <v>2</v>
      </c>
      <c r="M198" s="12" t="s">
        <v>2</v>
      </c>
      <c r="N198" s="12" t="s">
        <v>107</v>
      </c>
      <c r="O198" s="12" t="s">
        <v>107</v>
      </c>
      <c r="P198" s="12" t="s">
        <v>108</v>
      </c>
      <c r="Q198" s="12" t="s">
        <v>100</v>
      </c>
      <c r="R198" s="12" t="s">
        <v>143</v>
      </c>
      <c r="S198" s="18">
        <f>_xlfn.XLOOKUP(R198,'Price Assumptions'!E:E,'Price Assumptions'!G:G)</f>
        <v>10.974</v>
      </c>
      <c r="T198" s="18">
        <f t="shared" ref="T198:T261" si="3">S198*W198</f>
        <v>3144001.2313364469</v>
      </c>
      <c r="U198" s="12" t="s">
        <v>30</v>
      </c>
      <c r="V198" s="12" t="s">
        <v>9</v>
      </c>
      <c r="W198" s="19">
        <v>286495.46485661081</v>
      </c>
    </row>
    <row r="199" spans="3:23" x14ac:dyDescent="0.3">
      <c r="C199" s="12">
        <v>2026</v>
      </c>
      <c r="D199" s="12" t="s">
        <v>61</v>
      </c>
      <c r="E199" s="12" t="s">
        <v>62</v>
      </c>
      <c r="F199" s="12" t="s">
        <v>33</v>
      </c>
      <c r="G199" s="12" t="s">
        <v>34</v>
      </c>
      <c r="H199" s="12" t="s">
        <v>109</v>
      </c>
      <c r="I199" s="12" t="s">
        <v>27</v>
      </c>
      <c r="J199" s="12" t="s">
        <v>28</v>
      </c>
      <c r="K199" s="12" t="s">
        <v>29</v>
      </c>
      <c r="L199" s="12" t="s">
        <v>2</v>
      </c>
      <c r="M199" s="12" t="s">
        <v>2</v>
      </c>
      <c r="N199" s="12" t="s">
        <v>107</v>
      </c>
      <c r="O199" s="12" t="s">
        <v>107</v>
      </c>
      <c r="P199" s="12" t="s">
        <v>108</v>
      </c>
      <c r="Q199" s="12" t="s">
        <v>100</v>
      </c>
      <c r="R199" s="12" t="s">
        <v>143</v>
      </c>
      <c r="S199" s="18">
        <f>_xlfn.XLOOKUP(R199,'Price Assumptions'!E:E,'Price Assumptions'!G:G)</f>
        <v>10.974</v>
      </c>
      <c r="T199" s="18">
        <f t="shared" si="3"/>
        <v>165165.8607816938</v>
      </c>
      <c r="U199" s="12" t="s">
        <v>30</v>
      </c>
      <c r="V199" s="12" t="s">
        <v>9</v>
      </c>
      <c r="W199" s="19">
        <v>15050.652522479842</v>
      </c>
    </row>
    <row r="200" spans="3:23" x14ac:dyDescent="0.3">
      <c r="C200" s="12">
        <v>2026</v>
      </c>
      <c r="D200" s="12" t="s">
        <v>63</v>
      </c>
      <c r="E200" s="12" t="s">
        <v>64</v>
      </c>
      <c r="F200" s="12" t="s">
        <v>33</v>
      </c>
      <c r="G200" s="12" t="s">
        <v>34</v>
      </c>
      <c r="H200" s="12" t="s">
        <v>109</v>
      </c>
      <c r="I200" s="12" t="s">
        <v>27</v>
      </c>
      <c r="J200" s="12" t="s">
        <v>96</v>
      </c>
      <c r="K200" s="12" t="s">
        <v>29</v>
      </c>
      <c r="L200" s="12" t="s">
        <v>2</v>
      </c>
      <c r="M200" s="12" t="s">
        <v>2</v>
      </c>
      <c r="N200" s="12" t="s">
        <v>107</v>
      </c>
      <c r="O200" s="12" t="s">
        <v>99</v>
      </c>
      <c r="P200" s="12" t="s">
        <v>101</v>
      </c>
      <c r="Q200" s="12" t="s">
        <v>118</v>
      </c>
      <c r="R200" s="12" t="s">
        <v>144</v>
      </c>
      <c r="S200" s="18">
        <f>_xlfn.XLOOKUP(R200,'Price Assumptions'!E:E,'Price Assumptions'!G:G)</f>
        <v>3.9</v>
      </c>
      <c r="T200" s="18">
        <f t="shared" si="3"/>
        <v>3884728.0358514199</v>
      </c>
      <c r="U200" s="12" t="s">
        <v>30</v>
      </c>
      <c r="V200" s="12" t="s">
        <v>9</v>
      </c>
      <c r="W200" s="19">
        <v>996084.11175677436</v>
      </c>
    </row>
    <row r="201" spans="3:23" x14ac:dyDescent="0.3">
      <c r="C201" s="12">
        <v>2026</v>
      </c>
      <c r="D201" s="12" t="s">
        <v>63</v>
      </c>
      <c r="E201" s="12" t="s">
        <v>64</v>
      </c>
      <c r="F201" s="12" t="s">
        <v>33</v>
      </c>
      <c r="G201" s="12" t="s">
        <v>34</v>
      </c>
      <c r="H201" s="12" t="s">
        <v>109</v>
      </c>
      <c r="I201" s="12" t="s">
        <v>27</v>
      </c>
      <c r="J201" s="12" t="s">
        <v>96</v>
      </c>
      <c r="K201" s="12" t="s">
        <v>29</v>
      </c>
      <c r="L201" s="12" t="s">
        <v>2</v>
      </c>
      <c r="M201" s="12" t="s">
        <v>2</v>
      </c>
      <c r="N201" s="12" t="s">
        <v>99</v>
      </c>
      <c r="O201" s="12" t="s">
        <v>99</v>
      </c>
      <c r="P201" s="12" t="s">
        <v>100</v>
      </c>
      <c r="Q201" s="12" t="s">
        <v>100</v>
      </c>
      <c r="R201" s="12" t="s">
        <v>143</v>
      </c>
      <c r="S201" s="18">
        <f>_xlfn.XLOOKUP(R201,'Price Assumptions'!E:E,'Price Assumptions'!G:G)</f>
        <v>10.974</v>
      </c>
      <c r="T201" s="18">
        <f t="shared" si="3"/>
        <v>889070.56283888663</v>
      </c>
      <c r="U201" s="12" t="s">
        <v>30</v>
      </c>
      <c r="V201" s="12" t="s">
        <v>9</v>
      </c>
      <c r="W201" s="19">
        <v>81016.089196180663</v>
      </c>
    </row>
    <row r="202" spans="3:23" x14ac:dyDescent="0.3">
      <c r="C202" s="12">
        <v>2026</v>
      </c>
      <c r="D202" s="12" t="s">
        <v>73</v>
      </c>
      <c r="E202" s="12" t="s">
        <v>74</v>
      </c>
      <c r="F202" s="12" t="s">
        <v>33</v>
      </c>
      <c r="G202" s="12" t="s">
        <v>34</v>
      </c>
      <c r="H202" s="12" t="s">
        <v>109</v>
      </c>
      <c r="I202" s="12" t="s">
        <v>27</v>
      </c>
      <c r="J202" s="12" t="s">
        <v>96</v>
      </c>
      <c r="K202" s="12" t="s">
        <v>29</v>
      </c>
      <c r="L202" s="12" t="s">
        <v>2</v>
      </c>
      <c r="M202" s="12" t="s">
        <v>2</v>
      </c>
      <c r="N202" s="12" t="s">
        <v>107</v>
      </c>
      <c r="O202" s="12" t="s">
        <v>107</v>
      </c>
      <c r="P202" s="12" t="s">
        <v>108</v>
      </c>
      <c r="Q202" s="12" t="s">
        <v>120</v>
      </c>
      <c r="R202" s="12" t="s">
        <v>172</v>
      </c>
      <c r="S202" s="18">
        <f>_xlfn.XLOOKUP(R202,'Price Assumptions'!E:E,'Price Assumptions'!G:G)</f>
        <v>3.9</v>
      </c>
      <c r="T202" s="18">
        <f t="shared" si="3"/>
        <v>253655.45135963714</v>
      </c>
      <c r="U202" s="12" t="s">
        <v>30</v>
      </c>
      <c r="V202" s="12" t="s">
        <v>9</v>
      </c>
      <c r="W202" s="19">
        <v>65039.859322983881</v>
      </c>
    </row>
    <row r="203" spans="3:23" x14ac:dyDescent="0.3">
      <c r="C203" s="12">
        <v>2026</v>
      </c>
      <c r="D203" s="12" t="s">
        <v>79</v>
      </c>
      <c r="E203" s="12" t="s">
        <v>80</v>
      </c>
      <c r="F203" s="12" t="s">
        <v>33</v>
      </c>
      <c r="G203" s="12" t="s">
        <v>34</v>
      </c>
      <c r="H203" s="12" t="s">
        <v>109</v>
      </c>
      <c r="I203" s="12" t="s">
        <v>27</v>
      </c>
      <c r="J203" s="12" t="s">
        <v>96</v>
      </c>
      <c r="K203" s="12" t="s">
        <v>29</v>
      </c>
      <c r="L203" s="12" t="s">
        <v>2</v>
      </c>
      <c r="M203" s="12" t="s">
        <v>2</v>
      </c>
      <c r="N203" s="12" t="s">
        <v>103</v>
      </c>
      <c r="O203" s="12" t="s">
        <v>103</v>
      </c>
      <c r="P203" s="12" t="s">
        <v>101</v>
      </c>
      <c r="Q203" s="12" t="s">
        <v>118</v>
      </c>
      <c r="R203" s="12" t="s">
        <v>144</v>
      </c>
      <c r="S203" s="18">
        <f>_xlfn.XLOOKUP(R203,'Price Assumptions'!E:E,'Price Assumptions'!G:G)</f>
        <v>3.9</v>
      </c>
      <c r="T203" s="18">
        <f t="shared" si="3"/>
        <v>44792426.862132549</v>
      </c>
      <c r="U203" s="12" t="s">
        <v>30</v>
      </c>
      <c r="V203" s="12" t="s">
        <v>9</v>
      </c>
      <c r="W203" s="19">
        <v>11485237.656957064</v>
      </c>
    </row>
    <row r="204" spans="3:23" x14ac:dyDescent="0.3">
      <c r="C204" s="12">
        <v>2026</v>
      </c>
      <c r="D204" s="12" t="s">
        <v>88</v>
      </c>
      <c r="E204" s="12" t="s">
        <v>89</v>
      </c>
      <c r="F204" s="12" t="s">
        <v>33</v>
      </c>
      <c r="G204" s="12" t="s">
        <v>34</v>
      </c>
      <c r="H204" s="12" t="s">
        <v>109</v>
      </c>
      <c r="I204" s="12" t="s">
        <v>27</v>
      </c>
      <c r="J204" s="12" t="s">
        <v>96</v>
      </c>
      <c r="K204" s="12" t="s">
        <v>29</v>
      </c>
      <c r="L204" s="12" t="s">
        <v>2</v>
      </c>
      <c r="M204" s="12" t="s">
        <v>2</v>
      </c>
      <c r="N204" s="12" t="s">
        <v>107</v>
      </c>
      <c r="O204" s="12" t="s">
        <v>107</v>
      </c>
      <c r="P204" s="12" t="s">
        <v>108</v>
      </c>
      <c r="Q204" s="12" t="s">
        <v>120</v>
      </c>
      <c r="R204" s="12" t="s">
        <v>172</v>
      </c>
      <c r="S204" s="18">
        <f>_xlfn.XLOOKUP(R204,'Price Assumptions'!E:E,'Price Assumptions'!G:G)</f>
        <v>3.9</v>
      </c>
      <c r="T204" s="18">
        <f t="shared" si="3"/>
        <v>1874402.9203166128</v>
      </c>
      <c r="U204" s="12" t="s">
        <v>30</v>
      </c>
      <c r="V204" s="12" t="s">
        <v>9</v>
      </c>
      <c r="W204" s="19">
        <v>480616.13341451611</v>
      </c>
    </row>
    <row r="205" spans="3:23" x14ac:dyDescent="0.3">
      <c r="C205" s="12">
        <v>2026</v>
      </c>
      <c r="D205" s="12" t="s">
        <v>92</v>
      </c>
      <c r="E205" s="12" t="s">
        <v>93</v>
      </c>
      <c r="F205" s="12" t="s">
        <v>33</v>
      </c>
      <c r="G205" s="12" t="s">
        <v>34</v>
      </c>
      <c r="H205" s="12" t="s">
        <v>109</v>
      </c>
      <c r="I205" s="12" t="s">
        <v>27</v>
      </c>
      <c r="J205" s="12" t="s">
        <v>28</v>
      </c>
      <c r="K205" s="12" t="s">
        <v>29</v>
      </c>
      <c r="L205" s="12" t="s">
        <v>2</v>
      </c>
      <c r="M205" s="12" t="s">
        <v>2</v>
      </c>
      <c r="N205" s="12" t="s">
        <v>107</v>
      </c>
      <c r="O205" s="12" t="s">
        <v>107</v>
      </c>
      <c r="P205" s="12" t="s">
        <v>108</v>
      </c>
      <c r="Q205" s="12" t="s">
        <v>118</v>
      </c>
      <c r="R205" s="12" t="s">
        <v>144</v>
      </c>
      <c r="S205" s="18">
        <f>_xlfn.XLOOKUP(R205,'Price Assumptions'!E:E,'Price Assumptions'!G:G)</f>
        <v>3.9</v>
      </c>
      <c r="T205" s="18">
        <f t="shared" si="3"/>
        <v>17635523.299086936</v>
      </c>
      <c r="U205" s="12" t="s">
        <v>30</v>
      </c>
      <c r="V205" s="12" t="s">
        <v>9</v>
      </c>
      <c r="W205" s="19">
        <v>4521929.0510479324</v>
      </c>
    </row>
    <row r="206" spans="3:23" x14ac:dyDescent="0.3">
      <c r="C206" s="12">
        <v>2026</v>
      </c>
      <c r="D206" s="12" t="s">
        <v>94</v>
      </c>
      <c r="E206" s="12" t="s">
        <v>95</v>
      </c>
      <c r="F206" s="12" t="s">
        <v>33</v>
      </c>
      <c r="G206" s="12" t="s">
        <v>34</v>
      </c>
      <c r="H206" s="12" t="s">
        <v>109</v>
      </c>
      <c r="I206" s="12" t="s">
        <v>27</v>
      </c>
      <c r="J206" s="12" t="s">
        <v>96</v>
      </c>
      <c r="K206" s="12" t="s">
        <v>29</v>
      </c>
      <c r="L206" s="12" t="s">
        <v>2</v>
      </c>
      <c r="M206" s="12" t="s">
        <v>2</v>
      </c>
      <c r="N206" s="12" t="s">
        <v>107</v>
      </c>
      <c r="O206" s="12" t="s">
        <v>107</v>
      </c>
      <c r="P206" s="12" t="s">
        <v>108</v>
      </c>
      <c r="Q206" s="12" t="s">
        <v>118</v>
      </c>
      <c r="R206" s="12" t="s">
        <v>144</v>
      </c>
      <c r="S206" s="18">
        <f>_xlfn.XLOOKUP(R206,'Price Assumptions'!E:E,'Price Assumptions'!G:G)</f>
        <v>3.9</v>
      </c>
      <c r="T206" s="18">
        <f t="shared" si="3"/>
        <v>3661389.4470735718</v>
      </c>
      <c r="U206" s="12" t="s">
        <v>30</v>
      </c>
      <c r="V206" s="12" t="s">
        <v>9</v>
      </c>
      <c r="W206" s="19">
        <v>938817.8069419415</v>
      </c>
    </row>
    <row r="207" spans="3:23" x14ac:dyDescent="0.3">
      <c r="C207" s="12">
        <v>2027</v>
      </c>
      <c r="D207" s="12" t="s">
        <v>31</v>
      </c>
      <c r="E207" s="12" t="s">
        <v>32</v>
      </c>
      <c r="F207" s="12" t="s">
        <v>33</v>
      </c>
      <c r="G207" s="12" t="s">
        <v>34</v>
      </c>
      <c r="H207" s="12" t="s">
        <v>109</v>
      </c>
      <c r="I207" s="12" t="s">
        <v>27</v>
      </c>
      <c r="J207" s="12" t="s">
        <v>96</v>
      </c>
      <c r="K207" s="12" t="s">
        <v>29</v>
      </c>
      <c r="L207" s="12" t="s">
        <v>2</v>
      </c>
      <c r="M207" s="12" t="s">
        <v>2</v>
      </c>
      <c r="N207" s="12" t="s">
        <v>107</v>
      </c>
      <c r="O207" s="12" t="s">
        <v>107</v>
      </c>
      <c r="P207" s="12" t="s">
        <v>108</v>
      </c>
      <c r="Q207" s="12" t="s">
        <v>120</v>
      </c>
      <c r="R207" s="12" t="s">
        <v>147</v>
      </c>
      <c r="S207" s="18">
        <f>_xlfn.XLOOKUP(R207,'Price Assumptions'!E:E,'Price Assumptions'!G:G)</f>
        <v>2.99</v>
      </c>
      <c r="T207" s="18">
        <f t="shared" si="3"/>
        <v>1791027.0225783004</v>
      </c>
      <c r="U207" s="12" t="s">
        <v>30</v>
      </c>
      <c r="V207" s="12" t="s">
        <v>9</v>
      </c>
      <c r="W207" s="19">
        <v>599005.6931700001</v>
      </c>
    </row>
    <row r="208" spans="3:23" x14ac:dyDescent="0.3">
      <c r="C208" s="12">
        <v>2027</v>
      </c>
      <c r="D208" s="12" t="s">
        <v>35</v>
      </c>
      <c r="E208" s="12" t="s">
        <v>36</v>
      </c>
      <c r="F208" s="12" t="s">
        <v>33</v>
      </c>
      <c r="G208" s="12" t="s">
        <v>34</v>
      </c>
      <c r="H208" s="12" t="s">
        <v>109</v>
      </c>
      <c r="I208" s="12" t="s">
        <v>27</v>
      </c>
      <c r="J208" s="12" t="s">
        <v>96</v>
      </c>
      <c r="K208" s="12" t="s">
        <v>29</v>
      </c>
      <c r="L208" s="12" t="s">
        <v>2</v>
      </c>
      <c r="M208" s="12" t="s">
        <v>2</v>
      </c>
      <c r="N208" s="12" t="s">
        <v>104</v>
      </c>
      <c r="O208" s="12" t="s">
        <v>104</v>
      </c>
      <c r="P208" s="12" t="s">
        <v>100</v>
      </c>
      <c r="Q208" s="12" t="s">
        <v>100</v>
      </c>
      <c r="R208" s="12" t="s">
        <v>145</v>
      </c>
      <c r="S208" s="18">
        <f>_xlfn.XLOOKUP(R208,'Price Assumptions'!E:E,'Price Assumptions'!G:G)</f>
        <v>10.974</v>
      </c>
      <c r="T208" s="18">
        <f t="shared" si="3"/>
        <v>8711080.933024019</v>
      </c>
      <c r="U208" s="12" t="s">
        <v>30</v>
      </c>
      <c r="V208" s="12" t="s">
        <v>9</v>
      </c>
      <c r="W208" s="19">
        <v>793792.68571387092</v>
      </c>
    </row>
    <row r="209" spans="3:23" x14ac:dyDescent="0.3">
      <c r="C209" s="12">
        <v>2027</v>
      </c>
      <c r="D209" s="12" t="s">
        <v>37</v>
      </c>
      <c r="E209" s="12" t="s">
        <v>38</v>
      </c>
      <c r="F209" s="12" t="s">
        <v>33</v>
      </c>
      <c r="G209" s="12" t="s">
        <v>34</v>
      </c>
      <c r="H209" s="12" t="s">
        <v>109</v>
      </c>
      <c r="I209" s="12" t="s">
        <v>27</v>
      </c>
      <c r="J209" s="12" t="s">
        <v>28</v>
      </c>
      <c r="K209" s="12" t="s">
        <v>29</v>
      </c>
      <c r="L209" s="12" t="s">
        <v>2</v>
      </c>
      <c r="M209" s="12" t="s">
        <v>2</v>
      </c>
      <c r="N209" s="12" t="s">
        <v>107</v>
      </c>
      <c r="O209" s="12" t="s">
        <v>99</v>
      </c>
      <c r="P209" s="12" t="s">
        <v>101</v>
      </c>
      <c r="Q209" s="12" t="s">
        <v>118</v>
      </c>
      <c r="R209" s="12" t="s">
        <v>146</v>
      </c>
      <c r="S209" s="18">
        <f>_xlfn.XLOOKUP(R209,'Price Assumptions'!E:E,'Price Assumptions'!G:G)</f>
        <v>2.99</v>
      </c>
      <c r="T209" s="18">
        <f t="shared" si="3"/>
        <v>6673826.8499093084</v>
      </c>
      <c r="U209" s="12" t="s">
        <v>30</v>
      </c>
      <c r="V209" s="12" t="s">
        <v>9</v>
      </c>
      <c r="W209" s="19">
        <v>2232049.1136820428</v>
      </c>
    </row>
    <row r="210" spans="3:23" x14ac:dyDescent="0.3">
      <c r="C210" s="12">
        <v>2027</v>
      </c>
      <c r="D210" s="12" t="s">
        <v>41</v>
      </c>
      <c r="E210" s="12" t="s">
        <v>42</v>
      </c>
      <c r="F210" s="12" t="s">
        <v>33</v>
      </c>
      <c r="G210" s="12" t="s">
        <v>34</v>
      </c>
      <c r="H210" s="12" t="s">
        <v>109</v>
      </c>
      <c r="I210" s="12" t="s">
        <v>27</v>
      </c>
      <c r="J210" s="12" t="s">
        <v>96</v>
      </c>
      <c r="K210" s="12" t="s">
        <v>29</v>
      </c>
      <c r="L210" s="12" t="s">
        <v>2</v>
      </c>
      <c r="M210" s="12" t="s">
        <v>2</v>
      </c>
      <c r="N210" s="12" t="s">
        <v>99</v>
      </c>
      <c r="O210" s="12" t="s">
        <v>99</v>
      </c>
      <c r="P210" s="12" t="s">
        <v>100</v>
      </c>
      <c r="Q210" s="12" t="s">
        <v>100</v>
      </c>
      <c r="R210" s="12" t="s">
        <v>145</v>
      </c>
      <c r="S210" s="18">
        <f>_xlfn.XLOOKUP(R210,'Price Assumptions'!E:E,'Price Assumptions'!G:G)</f>
        <v>10.974</v>
      </c>
      <c r="T210" s="18">
        <f t="shared" si="3"/>
        <v>18423455.093811631</v>
      </c>
      <c r="U210" s="12" t="s">
        <v>30</v>
      </c>
      <c r="V210" s="12" t="s">
        <v>9</v>
      </c>
      <c r="W210" s="19">
        <v>1678827.692164355</v>
      </c>
    </row>
    <row r="211" spans="3:23" x14ac:dyDescent="0.3">
      <c r="C211" s="12">
        <v>2027</v>
      </c>
      <c r="D211" s="12" t="s">
        <v>47</v>
      </c>
      <c r="E211" s="12" t="s">
        <v>48</v>
      </c>
      <c r="F211" s="12" t="s">
        <v>33</v>
      </c>
      <c r="G211" s="12" t="s">
        <v>34</v>
      </c>
      <c r="H211" s="12" t="s">
        <v>109</v>
      </c>
      <c r="I211" s="12" t="s">
        <v>27</v>
      </c>
      <c r="J211" s="12" t="s">
        <v>110</v>
      </c>
      <c r="K211" s="12" t="s">
        <v>111</v>
      </c>
      <c r="L211" s="12" t="s">
        <v>2</v>
      </c>
      <c r="M211" s="12" t="s">
        <v>2</v>
      </c>
      <c r="N211" s="12" t="s">
        <v>107</v>
      </c>
      <c r="O211" s="12" t="s">
        <v>107</v>
      </c>
      <c r="P211" s="12" t="s">
        <v>108</v>
      </c>
      <c r="Q211" s="12" t="s">
        <v>120</v>
      </c>
      <c r="R211" s="12" t="s">
        <v>147</v>
      </c>
      <c r="S211" s="18">
        <f>_xlfn.XLOOKUP(R211,'Price Assumptions'!E:E,'Price Assumptions'!G:G)</f>
        <v>2.99</v>
      </c>
      <c r="T211" s="18">
        <f t="shared" si="3"/>
        <v>1073857.1227565685</v>
      </c>
      <c r="U211" s="12" t="s">
        <v>30</v>
      </c>
      <c r="V211" s="12" t="s">
        <v>9</v>
      </c>
      <c r="W211" s="19">
        <v>359149.53938346769</v>
      </c>
    </row>
    <row r="212" spans="3:23" x14ac:dyDescent="0.3">
      <c r="C212" s="12">
        <v>2027</v>
      </c>
      <c r="D212" s="12" t="s">
        <v>49</v>
      </c>
      <c r="E212" s="12" t="s">
        <v>50</v>
      </c>
      <c r="F212" s="12" t="s">
        <v>33</v>
      </c>
      <c r="G212" s="12" t="s">
        <v>34</v>
      </c>
      <c r="H212" s="12" t="s">
        <v>109</v>
      </c>
      <c r="I212" s="12" t="s">
        <v>27</v>
      </c>
      <c r="J212" s="12" t="s">
        <v>110</v>
      </c>
      <c r="K212" s="12" t="s">
        <v>111</v>
      </c>
      <c r="L212" s="12" t="s">
        <v>2</v>
      </c>
      <c r="M212" s="12" t="s">
        <v>2</v>
      </c>
      <c r="N212" s="12" t="s">
        <v>105</v>
      </c>
      <c r="O212" s="12" t="s">
        <v>105</v>
      </c>
      <c r="P212" s="12" t="s">
        <v>101</v>
      </c>
      <c r="Q212" s="12" t="s">
        <v>118</v>
      </c>
      <c r="R212" s="12" t="s">
        <v>146</v>
      </c>
      <c r="S212" s="18">
        <f>_xlfn.XLOOKUP(R212,'Price Assumptions'!E:E,'Price Assumptions'!G:G)</f>
        <v>2.99</v>
      </c>
      <c r="T212" s="18">
        <f t="shared" si="3"/>
        <v>6831797.0501688961</v>
      </c>
      <c r="U212" s="12" t="s">
        <v>30</v>
      </c>
      <c r="V212" s="12" t="s">
        <v>9</v>
      </c>
      <c r="W212" s="19">
        <v>2284881.9565782258</v>
      </c>
    </row>
    <row r="213" spans="3:23" x14ac:dyDescent="0.3">
      <c r="C213" s="12">
        <v>2027</v>
      </c>
      <c r="D213" s="12" t="s">
        <v>53</v>
      </c>
      <c r="E213" s="12" t="s">
        <v>54</v>
      </c>
      <c r="F213" s="12" t="s">
        <v>33</v>
      </c>
      <c r="G213" s="12" t="s">
        <v>34</v>
      </c>
      <c r="H213" s="12" t="s">
        <v>109</v>
      </c>
      <c r="I213" s="12" t="s">
        <v>27</v>
      </c>
      <c r="J213" s="12" t="s">
        <v>28</v>
      </c>
      <c r="K213" s="12" t="s">
        <v>29</v>
      </c>
      <c r="L213" s="12" t="s">
        <v>2</v>
      </c>
      <c r="M213" s="12" t="s">
        <v>2</v>
      </c>
      <c r="N213" s="12" t="s">
        <v>107</v>
      </c>
      <c r="O213" s="12" t="s">
        <v>107</v>
      </c>
      <c r="P213" s="12" t="s">
        <v>108</v>
      </c>
      <c r="Q213" s="12" t="s">
        <v>118</v>
      </c>
      <c r="R213" s="12" t="s">
        <v>146</v>
      </c>
      <c r="S213" s="18">
        <f>_xlfn.XLOOKUP(R213,'Price Assumptions'!E:E,'Price Assumptions'!G:G)</f>
        <v>2.99</v>
      </c>
      <c r="T213" s="18">
        <f t="shared" si="3"/>
        <v>13734591.027517365</v>
      </c>
      <c r="U213" s="12" t="s">
        <v>30</v>
      </c>
      <c r="V213" s="12" t="s">
        <v>9</v>
      </c>
      <c r="W213" s="19">
        <v>4593508.7048553061</v>
      </c>
    </row>
    <row r="214" spans="3:23" x14ac:dyDescent="0.3">
      <c r="C214" s="12">
        <v>2027</v>
      </c>
      <c r="D214" s="12" t="s">
        <v>57</v>
      </c>
      <c r="E214" s="12" t="s">
        <v>58</v>
      </c>
      <c r="F214" s="12" t="s">
        <v>33</v>
      </c>
      <c r="G214" s="12" t="s">
        <v>34</v>
      </c>
      <c r="H214" s="12" t="s">
        <v>109</v>
      </c>
      <c r="I214" s="12" t="s">
        <v>27</v>
      </c>
      <c r="J214" s="12" t="s">
        <v>110</v>
      </c>
      <c r="K214" s="12" t="s">
        <v>111</v>
      </c>
      <c r="L214" s="12" t="s">
        <v>2</v>
      </c>
      <c r="M214" s="12" t="s">
        <v>2</v>
      </c>
      <c r="N214" s="12" t="s">
        <v>99</v>
      </c>
      <c r="O214" s="12" t="s">
        <v>99</v>
      </c>
      <c r="P214" s="12" t="s">
        <v>101</v>
      </c>
      <c r="Q214" s="12" t="s">
        <v>118</v>
      </c>
      <c r="R214" s="12" t="s">
        <v>146</v>
      </c>
      <c r="S214" s="18">
        <f>_xlfn.XLOOKUP(R214,'Price Assumptions'!E:E,'Price Assumptions'!G:G)</f>
        <v>2.99</v>
      </c>
      <c r="T214" s="18">
        <f t="shared" si="3"/>
        <v>6756426.6930204583</v>
      </c>
      <c r="U214" s="12" t="s">
        <v>30</v>
      </c>
      <c r="V214" s="12" t="s">
        <v>9</v>
      </c>
      <c r="W214" s="19">
        <v>2259674.4792710561</v>
      </c>
    </row>
    <row r="215" spans="3:23" x14ac:dyDescent="0.3">
      <c r="C215" s="12">
        <v>2027</v>
      </c>
      <c r="D215" s="12" t="s">
        <v>59</v>
      </c>
      <c r="E215" s="12" t="s">
        <v>60</v>
      </c>
      <c r="F215" s="12" t="s">
        <v>33</v>
      </c>
      <c r="G215" s="12" t="s">
        <v>34</v>
      </c>
      <c r="H215" s="12" t="s">
        <v>109</v>
      </c>
      <c r="I215" s="12" t="s">
        <v>27</v>
      </c>
      <c r="J215" s="12" t="s">
        <v>96</v>
      </c>
      <c r="K215" s="12" t="s">
        <v>29</v>
      </c>
      <c r="L215" s="12" t="s">
        <v>2</v>
      </c>
      <c r="M215" s="12" t="s">
        <v>2</v>
      </c>
      <c r="N215" s="12" t="s">
        <v>107</v>
      </c>
      <c r="O215" s="12" t="s">
        <v>107</v>
      </c>
      <c r="P215" s="12" t="s">
        <v>108</v>
      </c>
      <c r="Q215" s="12" t="s">
        <v>100</v>
      </c>
      <c r="R215" s="12" t="s">
        <v>145</v>
      </c>
      <c r="S215" s="18">
        <f>_xlfn.XLOOKUP(R215,'Price Assumptions'!E:E,'Price Assumptions'!G:G)</f>
        <v>10.974</v>
      </c>
      <c r="T215" s="18">
        <f t="shared" si="3"/>
        <v>4766595.8050801987</v>
      </c>
      <c r="U215" s="12" t="s">
        <v>30</v>
      </c>
      <c r="V215" s="12" t="s">
        <v>9</v>
      </c>
      <c r="W215" s="19">
        <v>434353.54520504817</v>
      </c>
    </row>
    <row r="216" spans="3:23" x14ac:dyDescent="0.3">
      <c r="C216" s="12">
        <v>2027</v>
      </c>
      <c r="D216" s="12" t="s">
        <v>61</v>
      </c>
      <c r="E216" s="12" t="s">
        <v>62</v>
      </c>
      <c r="F216" s="12" t="s">
        <v>33</v>
      </c>
      <c r="G216" s="12" t="s">
        <v>34</v>
      </c>
      <c r="H216" s="12" t="s">
        <v>109</v>
      </c>
      <c r="I216" s="12" t="s">
        <v>27</v>
      </c>
      <c r="J216" s="12" t="s">
        <v>28</v>
      </c>
      <c r="K216" s="12" t="s">
        <v>29</v>
      </c>
      <c r="L216" s="12" t="s">
        <v>2</v>
      </c>
      <c r="M216" s="12" t="s">
        <v>2</v>
      </c>
      <c r="N216" s="12" t="s">
        <v>107</v>
      </c>
      <c r="O216" s="12" t="s">
        <v>107</v>
      </c>
      <c r="P216" s="12" t="s">
        <v>108</v>
      </c>
      <c r="Q216" s="12" t="s">
        <v>100</v>
      </c>
      <c r="R216" s="12" t="s">
        <v>145</v>
      </c>
      <c r="S216" s="18">
        <f>_xlfn.XLOOKUP(R216,'Price Assumptions'!E:E,'Price Assumptions'!G:G)</f>
        <v>10.974</v>
      </c>
      <c r="T216" s="18">
        <f t="shared" si="3"/>
        <v>300156.04613787762</v>
      </c>
      <c r="U216" s="12" t="s">
        <v>30</v>
      </c>
      <c r="V216" s="12" t="s">
        <v>9</v>
      </c>
      <c r="W216" s="19">
        <v>27351.562432830109</v>
      </c>
    </row>
    <row r="217" spans="3:23" x14ac:dyDescent="0.3">
      <c r="C217" s="12">
        <v>2027</v>
      </c>
      <c r="D217" s="12" t="s">
        <v>63</v>
      </c>
      <c r="E217" s="12" t="s">
        <v>64</v>
      </c>
      <c r="F217" s="12" t="s">
        <v>33</v>
      </c>
      <c r="G217" s="12" t="s">
        <v>34</v>
      </c>
      <c r="H217" s="12" t="s">
        <v>109</v>
      </c>
      <c r="I217" s="12" t="s">
        <v>27</v>
      </c>
      <c r="J217" s="12" t="s">
        <v>96</v>
      </c>
      <c r="K217" s="12" t="s">
        <v>29</v>
      </c>
      <c r="L217" s="12" t="s">
        <v>2</v>
      </c>
      <c r="M217" s="12" t="s">
        <v>2</v>
      </c>
      <c r="N217" s="12" t="s">
        <v>107</v>
      </c>
      <c r="O217" s="12" t="s">
        <v>99</v>
      </c>
      <c r="P217" s="12" t="s">
        <v>101</v>
      </c>
      <c r="Q217" s="12" t="s">
        <v>118</v>
      </c>
      <c r="R217" s="12" t="s">
        <v>146</v>
      </c>
      <c r="S217" s="18">
        <f>_xlfn.XLOOKUP(R217,'Price Assumptions'!E:E,'Price Assumptions'!G:G)</f>
        <v>2.99</v>
      </c>
      <c r="T217" s="18">
        <f t="shared" si="3"/>
        <v>3192309.6497986633</v>
      </c>
      <c r="U217" s="12" t="s">
        <v>30</v>
      </c>
      <c r="V217" s="12" t="s">
        <v>9</v>
      </c>
      <c r="W217" s="19">
        <v>1067662.0902336666</v>
      </c>
    </row>
    <row r="218" spans="3:23" x14ac:dyDescent="0.3">
      <c r="C218" s="12">
        <v>2027</v>
      </c>
      <c r="D218" s="12" t="s">
        <v>73</v>
      </c>
      <c r="E218" s="12" t="s">
        <v>74</v>
      </c>
      <c r="F218" s="12" t="s">
        <v>33</v>
      </c>
      <c r="G218" s="12" t="s">
        <v>34</v>
      </c>
      <c r="H218" s="12" t="s">
        <v>109</v>
      </c>
      <c r="I218" s="12" t="s">
        <v>27</v>
      </c>
      <c r="J218" s="12" t="s">
        <v>96</v>
      </c>
      <c r="K218" s="12" t="s">
        <v>29</v>
      </c>
      <c r="L218" s="12" t="s">
        <v>2</v>
      </c>
      <c r="M218" s="12" t="s">
        <v>2</v>
      </c>
      <c r="N218" s="12" t="s">
        <v>107</v>
      </c>
      <c r="O218" s="12" t="s">
        <v>107</v>
      </c>
      <c r="P218" s="12" t="s">
        <v>108</v>
      </c>
      <c r="Q218" s="12" t="s">
        <v>120</v>
      </c>
      <c r="R218" s="12" t="s">
        <v>147</v>
      </c>
      <c r="S218" s="18">
        <f>_xlfn.XLOOKUP(R218,'Price Assumptions'!E:E,'Price Assumptions'!G:G)</f>
        <v>2.99</v>
      </c>
      <c r="T218" s="18">
        <f t="shared" si="3"/>
        <v>562163.13320879289</v>
      </c>
      <c r="U218" s="12" t="s">
        <v>30</v>
      </c>
      <c r="V218" s="12" t="s">
        <v>9</v>
      </c>
      <c r="W218" s="19">
        <v>188014.42582233873</v>
      </c>
    </row>
    <row r="219" spans="3:23" x14ac:dyDescent="0.3">
      <c r="C219" s="12">
        <v>2027</v>
      </c>
      <c r="D219" s="12" t="s">
        <v>79</v>
      </c>
      <c r="E219" s="12" t="s">
        <v>80</v>
      </c>
      <c r="F219" s="12" t="s">
        <v>33</v>
      </c>
      <c r="G219" s="12" t="s">
        <v>34</v>
      </c>
      <c r="H219" s="12" t="s">
        <v>109</v>
      </c>
      <c r="I219" s="12" t="s">
        <v>27</v>
      </c>
      <c r="J219" s="12" t="s">
        <v>96</v>
      </c>
      <c r="K219" s="12" t="s">
        <v>29</v>
      </c>
      <c r="L219" s="12" t="s">
        <v>2</v>
      </c>
      <c r="M219" s="12" t="s">
        <v>2</v>
      </c>
      <c r="N219" s="12" t="s">
        <v>103</v>
      </c>
      <c r="O219" s="12" t="s">
        <v>103</v>
      </c>
      <c r="P219" s="12" t="s">
        <v>101</v>
      </c>
      <c r="Q219" s="12" t="s">
        <v>118</v>
      </c>
      <c r="R219" s="12" t="s">
        <v>146</v>
      </c>
      <c r="S219" s="18">
        <f>_xlfn.XLOOKUP(R219,'Price Assumptions'!E:E,'Price Assumptions'!G:G)</f>
        <v>2.99</v>
      </c>
      <c r="T219" s="18">
        <f t="shared" si="3"/>
        <v>35827472.822257593</v>
      </c>
      <c r="U219" s="12" t="s">
        <v>30</v>
      </c>
      <c r="V219" s="12" t="s">
        <v>9</v>
      </c>
      <c r="W219" s="19">
        <v>11982432.38202595</v>
      </c>
    </row>
    <row r="220" spans="3:23" x14ac:dyDescent="0.3">
      <c r="C220" s="12">
        <v>2027</v>
      </c>
      <c r="D220" s="12" t="s">
        <v>88</v>
      </c>
      <c r="E220" s="12" t="s">
        <v>89</v>
      </c>
      <c r="F220" s="12" t="s">
        <v>33</v>
      </c>
      <c r="G220" s="12" t="s">
        <v>34</v>
      </c>
      <c r="H220" s="12" t="s">
        <v>109</v>
      </c>
      <c r="I220" s="12" t="s">
        <v>27</v>
      </c>
      <c r="J220" s="12" t="s">
        <v>96</v>
      </c>
      <c r="K220" s="12" t="s">
        <v>29</v>
      </c>
      <c r="L220" s="12" t="s">
        <v>2</v>
      </c>
      <c r="M220" s="12" t="s">
        <v>2</v>
      </c>
      <c r="N220" s="12" t="s">
        <v>107</v>
      </c>
      <c r="O220" s="12" t="s">
        <v>107</v>
      </c>
      <c r="P220" s="12" t="s">
        <v>108</v>
      </c>
      <c r="Q220" s="12" t="s">
        <v>120</v>
      </c>
      <c r="R220" s="12" t="s">
        <v>147</v>
      </c>
      <c r="S220" s="18">
        <f>_xlfn.XLOOKUP(R220,'Price Assumptions'!E:E,'Price Assumptions'!G:G)</f>
        <v>2.99</v>
      </c>
      <c r="T220" s="18">
        <f t="shared" si="3"/>
        <v>4202059.5330706043</v>
      </c>
      <c r="U220" s="12" t="s">
        <v>30</v>
      </c>
      <c r="V220" s="12" t="s">
        <v>9</v>
      </c>
      <c r="W220" s="19">
        <v>1405371.0812945163</v>
      </c>
    </row>
    <row r="221" spans="3:23" x14ac:dyDescent="0.3">
      <c r="C221" s="12">
        <v>2027</v>
      </c>
      <c r="D221" s="12" t="s">
        <v>90</v>
      </c>
      <c r="E221" s="12" t="s">
        <v>91</v>
      </c>
      <c r="F221" s="12" t="s">
        <v>33</v>
      </c>
      <c r="G221" s="12" t="s">
        <v>34</v>
      </c>
      <c r="H221" s="12" t="s">
        <v>109</v>
      </c>
      <c r="I221" s="12" t="s">
        <v>27</v>
      </c>
      <c r="J221" s="12" t="s">
        <v>28</v>
      </c>
      <c r="K221" s="12" t="s">
        <v>29</v>
      </c>
      <c r="L221" s="12" t="s">
        <v>2</v>
      </c>
      <c r="M221" s="12" t="s">
        <v>2</v>
      </c>
      <c r="N221" s="12" t="s">
        <v>107</v>
      </c>
      <c r="O221" s="12" t="s">
        <v>107</v>
      </c>
      <c r="P221" s="12" t="s">
        <v>108</v>
      </c>
      <c r="Q221" s="12" t="s">
        <v>118</v>
      </c>
      <c r="R221" s="12" t="s">
        <v>146</v>
      </c>
      <c r="S221" s="18">
        <f>_xlfn.XLOOKUP(R221,'Price Assumptions'!E:E,'Price Assumptions'!G:G)</f>
        <v>2.99</v>
      </c>
      <c r="T221" s="18">
        <f t="shared" si="3"/>
        <v>2096236.6856205286</v>
      </c>
      <c r="U221" s="12" t="s">
        <v>30</v>
      </c>
      <c r="V221" s="12" t="s">
        <v>9</v>
      </c>
      <c r="W221" s="19">
        <v>701082.50355201622</v>
      </c>
    </row>
    <row r="222" spans="3:23" x14ac:dyDescent="0.3">
      <c r="C222" s="12">
        <v>2027</v>
      </c>
      <c r="D222" s="12" t="s">
        <v>92</v>
      </c>
      <c r="E222" s="12" t="s">
        <v>93</v>
      </c>
      <c r="F222" s="12" t="s">
        <v>33</v>
      </c>
      <c r="G222" s="12" t="s">
        <v>34</v>
      </c>
      <c r="H222" s="12" t="s">
        <v>109</v>
      </c>
      <c r="I222" s="12" t="s">
        <v>27</v>
      </c>
      <c r="J222" s="12" t="s">
        <v>96</v>
      </c>
      <c r="K222" s="12" t="s">
        <v>29</v>
      </c>
      <c r="L222" s="12" t="s">
        <v>2</v>
      </c>
      <c r="M222" s="12" t="s">
        <v>2</v>
      </c>
      <c r="N222" s="12" t="s">
        <v>107</v>
      </c>
      <c r="O222" s="12" t="s">
        <v>107</v>
      </c>
      <c r="P222" s="12" t="s">
        <v>108</v>
      </c>
      <c r="Q222" s="12" t="s">
        <v>118</v>
      </c>
      <c r="R222" s="12" t="s">
        <v>146</v>
      </c>
      <c r="S222" s="18">
        <f>_xlfn.XLOOKUP(R222,'Price Assumptions'!E:E,'Price Assumptions'!G:G)</f>
        <v>2.99</v>
      </c>
      <c r="T222" s="18">
        <f t="shared" si="3"/>
        <v>13333814.809533335</v>
      </c>
      <c r="U222" s="12" t="s">
        <v>30</v>
      </c>
      <c r="V222" s="12" t="s">
        <v>9</v>
      </c>
      <c r="W222" s="19">
        <v>4459469.8359643258</v>
      </c>
    </row>
    <row r="223" spans="3:23" x14ac:dyDescent="0.3">
      <c r="C223" s="12">
        <v>2027</v>
      </c>
      <c r="D223" s="12" t="s">
        <v>94</v>
      </c>
      <c r="E223" s="12" t="s">
        <v>95</v>
      </c>
      <c r="F223" s="12" t="s">
        <v>33</v>
      </c>
      <c r="G223" s="12" t="s">
        <v>34</v>
      </c>
      <c r="H223" s="12" t="s">
        <v>109</v>
      </c>
      <c r="I223" s="12" t="s">
        <v>27</v>
      </c>
      <c r="J223" s="12" t="s">
        <v>96</v>
      </c>
      <c r="K223" s="12" t="s">
        <v>29</v>
      </c>
      <c r="L223" s="12" t="s">
        <v>2</v>
      </c>
      <c r="M223" s="12" t="s">
        <v>2</v>
      </c>
      <c r="N223" s="12" t="s">
        <v>107</v>
      </c>
      <c r="O223" s="12" t="s">
        <v>107</v>
      </c>
      <c r="P223" s="12" t="s">
        <v>108</v>
      </c>
      <c r="Q223" s="12" t="s">
        <v>118</v>
      </c>
      <c r="R223" s="12" t="s">
        <v>146</v>
      </c>
      <c r="S223" s="18">
        <f>_xlfn.XLOOKUP(R223,'Price Assumptions'!E:E,'Price Assumptions'!G:G)</f>
        <v>2.99</v>
      </c>
      <c r="T223" s="18">
        <f t="shared" si="3"/>
        <v>2974998.964093578</v>
      </c>
      <c r="U223" s="12" t="s">
        <v>30</v>
      </c>
      <c r="V223" s="12" t="s">
        <v>9</v>
      </c>
      <c r="W223" s="19">
        <v>994982.93113497586</v>
      </c>
    </row>
    <row r="224" spans="3:23" x14ac:dyDescent="0.3">
      <c r="C224" s="12">
        <v>2028</v>
      </c>
      <c r="D224" s="12" t="s">
        <v>31</v>
      </c>
      <c r="E224" s="12" t="s">
        <v>32</v>
      </c>
      <c r="F224" s="12" t="s">
        <v>33</v>
      </c>
      <c r="G224" s="12" t="s">
        <v>34</v>
      </c>
      <c r="H224" s="12" t="s">
        <v>109</v>
      </c>
      <c r="I224" s="12" t="s">
        <v>27</v>
      </c>
      <c r="J224" s="12" t="s">
        <v>96</v>
      </c>
      <c r="K224" s="12" t="s">
        <v>29</v>
      </c>
      <c r="L224" s="12" t="s">
        <v>2</v>
      </c>
      <c r="M224" s="12" t="s">
        <v>2</v>
      </c>
      <c r="N224" s="12" t="s">
        <v>107</v>
      </c>
      <c r="O224" s="12" t="s">
        <v>107</v>
      </c>
      <c r="P224" s="12" t="s">
        <v>108</v>
      </c>
      <c r="Q224" s="12" t="s">
        <v>120</v>
      </c>
      <c r="R224" s="12" t="s">
        <v>150</v>
      </c>
      <c r="S224" s="18">
        <f>_xlfn.XLOOKUP(R224,'Price Assumptions'!E:E,'Price Assumptions'!G:G)</f>
        <v>2.99</v>
      </c>
      <c r="T224" s="18">
        <f t="shared" si="3"/>
        <v>5466562.4357047668</v>
      </c>
      <c r="U224" s="12" t="s">
        <v>30</v>
      </c>
      <c r="V224" s="12" t="s">
        <v>9</v>
      </c>
      <c r="W224" s="19">
        <v>1828281.7510718282</v>
      </c>
    </row>
    <row r="225" spans="3:23" x14ac:dyDescent="0.3">
      <c r="C225" s="12">
        <v>2028</v>
      </c>
      <c r="D225" s="12" t="s">
        <v>35</v>
      </c>
      <c r="E225" s="12" t="s">
        <v>36</v>
      </c>
      <c r="F225" s="12" t="s">
        <v>33</v>
      </c>
      <c r="G225" s="12" t="s">
        <v>34</v>
      </c>
      <c r="H225" s="12" t="s">
        <v>109</v>
      </c>
      <c r="I225" s="12" t="s">
        <v>27</v>
      </c>
      <c r="J225" s="12" t="s">
        <v>96</v>
      </c>
      <c r="K225" s="12" t="s">
        <v>29</v>
      </c>
      <c r="L225" s="12" t="s">
        <v>2</v>
      </c>
      <c r="M225" s="12" t="s">
        <v>2</v>
      </c>
      <c r="N225" s="12" t="s">
        <v>104</v>
      </c>
      <c r="O225" s="12" t="s">
        <v>104</v>
      </c>
      <c r="P225" s="12" t="s">
        <v>100</v>
      </c>
      <c r="Q225" s="12" t="s">
        <v>100</v>
      </c>
      <c r="R225" s="12" t="s">
        <v>148</v>
      </c>
      <c r="S225" s="18">
        <f>_xlfn.XLOOKUP(R225,'Price Assumptions'!E:E,'Price Assumptions'!G:G)</f>
        <v>5</v>
      </c>
      <c r="T225" s="18">
        <f t="shared" si="3"/>
        <v>4086124.2956954306</v>
      </c>
      <c r="U225" s="12" t="s">
        <v>30</v>
      </c>
      <c r="V225" s="12" t="s">
        <v>9</v>
      </c>
      <c r="W225" s="19">
        <v>817224.8591390861</v>
      </c>
    </row>
    <row r="226" spans="3:23" x14ac:dyDescent="0.3">
      <c r="C226" s="12">
        <v>2028</v>
      </c>
      <c r="D226" s="12" t="s">
        <v>37</v>
      </c>
      <c r="E226" s="12" t="s">
        <v>38</v>
      </c>
      <c r="F226" s="12" t="s">
        <v>33</v>
      </c>
      <c r="G226" s="12" t="s">
        <v>34</v>
      </c>
      <c r="H226" s="12" t="s">
        <v>109</v>
      </c>
      <c r="I226" s="12" t="s">
        <v>27</v>
      </c>
      <c r="J226" s="12" t="s">
        <v>28</v>
      </c>
      <c r="K226" s="12" t="s">
        <v>29</v>
      </c>
      <c r="L226" s="12" t="s">
        <v>2</v>
      </c>
      <c r="M226" s="12" t="s">
        <v>2</v>
      </c>
      <c r="N226" s="12" t="s">
        <v>107</v>
      </c>
      <c r="O226" s="12" t="s">
        <v>99</v>
      </c>
      <c r="P226" s="12" t="s">
        <v>101</v>
      </c>
      <c r="Q226" s="12" t="s">
        <v>118</v>
      </c>
      <c r="R226" s="12" t="s">
        <v>149</v>
      </c>
      <c r="S226" s="18">
        <f>_xlfn.XLOOKUP(R226,'Price Assumptions'!E:E,'Price Assumptions'!G:G)</f>
        <v>2.99</v>
      </c>
      <c r="T226" s="18">
        <f t="shared" si="3"/>
        <v>6522412.2978812531</v>
      </c>
      <c r="U226" s="12" t="s">
        <v>30</v>
      </c>
      <c r="V226" s="12" t="s">
        <v>9</v>
      </c>
      <c r="W226" s="19">
        <v>2181408.7952780109</v>
      </c>
    </row>
    <row r="227" spans="3:23" x14ac:dyDescent="0.3">
      <c r="C227" s="12">
        <v>2028</v>
      </c>
      <c r="D227" s="12" t="s">
        <v>41</v>
      </c>
      <c r="E227" s="12" t="s">
        <v>42</v>
      </c>
      <c r="F227" s="12" t="s">
        <v>33</v>
      </c>
      <c r="G227" s="12" t="s">
        <v>34</v>
      </c>
      <c r="H227" s="12" t="s">
        <v>109</v>
      </c>
      <c r="I227" s="12" t="s">
        <v>27</v>
      </c>
      <c r="J227" s="12" t="s">
        <v>96</v>
      </c>
      <c r="K227" s="12" t="s">
        <v>29</v>
      </c>
      <c r="L227" s="12" t="s">
        <v>2</v>
      </c>
      <c r="M227" s="12" t="s">
        <v>2</v>
      </c>
      <c r="N227" s="12" t="s">
        <v>107</v>
      </c>
      <c r="O227" s="12" t="s">
        <v>99</v>
      </c>
      <c r="P227" s="12" t="s">
        <v>101</v>
      </c>
      <c r="Q227" s="12" t="s">
        <v>118</v>
      </c>
      <c r="R227" s="12" t="s">
        <v>149</v>
      </c>
      <c r="S227" s="18">
        <f>_xlfn.XLOOKUP(R227,'Price Assumptions'!E:E,'Price Assumptions'!G:G)</f>
        <v>2.99</v>
      </c>
      <c r="T227" s="18">
        <f t="shared" si="3"/>
        <v>4995487.3017257424</v>
      </c>
      <c r="U227" s="12" t="s">
        <v>30</v>
      </c>
      <c r="V227" s="12" t="s">
        <v>9</v>
      </c>
      <c r="W227" s="19">
        <v>1670731.5390387098</v>
      </c>
    </row>
    <row r="228" spans="3:23" x14ac:dyDescent="0.3">
      <c r="C228" s="12">
        <v>2028</v>
      </c>
      <c r="D228" s="12" t="s">
        <v>41</v>
      </c>
      <c r="E228" s="12" t="s">
        <v>42</v>
      </c>
      <c r="F228" s="12" t="s">
        <v>33</v>
      </c>
      <c r="G228" s="12" t="s">
        <v>34</v>
      </c>
      <c r="H228" s="12" t="s">
        <v>109</v>
      </c>
      <c r="I228" s="12" t="s">
        <v>27</v>
      </c>
      <c r="J228" s="12" t="s">
        <v>96</v>
      </c>
      <c r="K228" s="12" t="s">
        <v>29</v>
      </c>
      <c r="L228" s="12" t="s">
        <v>2</v>
      </c>
      <c r="M228" s="12" t="s">
        <v>2</v>
      </c>
      <c r="N228" s="12" t="s">
        <v>99</v>
      </c>
      <c r="O228" s="12" t="s">
        <v>99</v>
      </c>
      <c r="P228" s="12" t="s">
        <v>100</v>
      </c>
      <c r="Q228" s="12" t="s">
        <v>100</v>
      </c>
      <c r="R228" s="12" t="s">
        <v>148</v>
      </c>
      <c r="S228" s="18">
        <f>_xlfn.XLOOKUP(R228,'Price Assumptions'!E:E,'Price Assumptions'!G:G)</f>
        <v>5</v>
      </c>
      <c r="T228" s="18">
        <f t="shared" si="3"/>
        <v>1574311.9908464514</v>
      </c>
      <c r="U228" s="12" t="s">
        <v>30</v>
      </c>
      <c r="V228" s="12" t="s">
        <v>9</v>
      </c>
      <c r="W228" s="19">
        <v>314862.39816929027</v>
      </c>
    </row>
    <row r="229" spans="3:23" x14ac:dyDescent="0.3">
      <c r="C229" s="12">
        <v>2028</v>
      </c>
      <c r="D229" s="12" t="s">
        <v>47</v>
      </c>
      <c r="E229" s="12" t="s">
        <v>48</v>
      </c>
      <c r="F229" s="12" t="s">
        <v>33</v>
      </c>
      <c r="G229" s="12" t="s">
        <v>34</v>
      </c>
      <c r="H229" s="12" t="s">
        <v>109</v>
      </c>
      <c r="I229" s="12" t="s">
        <v>27</v>
      </c>
      <c r="J229" s="12" t="s">
        <v>110</v>
      </c>
      <c r="K229" s="12" t="s">
        <v>111</v>
      </c>
      <c r="L229" s="12" t="s">
        <v>2</v>
      </c>
      <c r="M229" s="12" t="s">
        <v>2</v>
      </c>
      <c r="N229" s="12" t="s">
        <v>107</v>
      </c>
      <c r="O229" s="12" t="s">
        <v>107</v>
      </c>
      <c r="P229" s="12" t="s">
        <v>108</v>
      </c>
      <c r="Q229" s="12" t="s">
        <v>120</v>
      </c>
      <c r="R229" s="12" t="s">
        <v>150</v>
      </c>
      <c r="S229" s="18">
        <f>_xlfn.XLOOKUP(R229,'Price Assumptions'!E:E,'Price Assumptions'!G:G)</f>
        <v>2.99</v>
      </c>
      <c r="T229" s="18">
        <f t="shared" si="3"/>
        <v>1126517.2194212119</v>
      </c>
      <c r="U229" s="12" t="s">
        <v>30</v>
      </c>
      <c r="V229" s="12" t="s">
        <v>9</v>
      </c>
      <c r="W229" s="19">
        <v>376761.61184655916</v>
      </c>
    </row>
    <row r="230" spans="3:23" x14ac:dyDescent="0.3">
      <c r="C230" s="12">
        <v>2028</v>
      </c>
      <c r="D230" s="12" t="s">
        <v>49</v>
      </c>
      <c r="E230" s="12" t="s">
        <v>50</v>
      </c>
      <c r="F230" s="12" t="s">
        <v>33</v>
      </c>
      <c r="G230" s="12" t="s">
        <v>34</v>
      </c>
      <c r="H230" s="12" t="s">
        <v>109</v>
      </c>
      <c r="I230" s="12" t="s">
        <v>27</v>
      </c>
      <c r="J230" s="12" t="s">
        <v>110</v>
      </c>
      <c r="K230" s="12" t="s">
        <v>111</v>
      </c>
      <c r="L230" s="12" t="s">
        <v>2</v>
      </c>
      <c r="M230" s="12" t="s">
        <v>2</v>
      </c>
      <c r="N230" s="12" t="s">
        <v>105</v>
      </c>
      <c r="O230" s="12" t="s">
        <v>105</v>
      </c>
      <c r="P230" s="12" t="s">
        <v>101</v>
      </c>
      <c r="Q230" s="12" t="s">
        <v>118</v>
      </c>
      <c r="R230" s="12" t="s">
        <v>149</v>
      </c>
      <c r="S230" s="18">
        <f>_xlfn.XLOOKUP(R230,'Price Assumptions'!E:E,'Price Assumptions'!G:G)</f>
        <v>2.99</v>
      </c>
      <c r="T230" s="18">
        <f t="shared" si="3"/>
        <v>6912140.7463565841</v>
      </c>
      <c r="U230" s="12" t="s">
        <v>30</v>
      </c>
      <c r="V230" s="12" t="s">
        <v>9</v>
      </c>
      <c r="W230" s="19">
        <v>2311752.7579787904</v>
      </c>
    </row>
    <row r="231" spans="3:23" x14ac:dyDescent="0.3">
      <c r="C231" s="12">
        <v>2028</v>
      </c>
      <c r="D231" s="12" t="s">
        <v>53</v>
      </c>
      <c r="E231" s="12" t="s">
        <v>54</v>
      </c>
      <c r="F231" s="12" t="s">
        <v>33</v>
      </c>
      <c r="G231" s="12" t="s">
        <v>34</v>
      </c>
      <c r="H231" s="12" t="s">
        <v>109</v>
      </c>
      <c r="I231" s="12" t="s">
        <v>27</v>
      </c>
      <c r="J231" s="12" t="s">
        <v>28</v>
      </c>
      <c r="K231" s="12" t="s">
        <v>29</v>
      </c>
      <c r="L231" s="12" t="s">
        <v>2</v>
      </c>
      <c r="M231" s="12" t="s">
        <v>2</v>
      </c>
      <c r="N231" s="12" t="s">
        <v>107</v>
      </c>
      <c r="O231" s="12" t="s">
        <v>107</v>
      </c>
      <c r="P231" s="12" t="s">
        <v>108</v>
      </c>
      <c r="Q231" s="12" t="s">
        <v>118</v>
      </c>
      <c r="R231" s="12" t="s">
        <v>149</v>
      </c>
      <c r="S231" s="18">
        <f>_xlfn.XLOOKUP(R231,'Price Assumptions'!E:E,'Price Assumptions'!G:G)</f>
        <v>2.99</v>
      </c>
      <c r="T231" s="18">
        <f t="shared" si="3"/>
        <v>13532298.895771462</v>
      </c>
      <c r="U231" s="12" t="s">
        <v>30</v>
      </c>
      <c r="V231" s="12" t="s">
        <v>9</v>
      </c>
      <c r="W231" s="19">
        <v>4525852.473502161</v>
      </c>
    </row>
    <row r="232" spans="3:23" x14ac:dyDescent="0.3">
      <c r="C232" s="12">
        <v>2028</v>
      </c>
      <c r="D232" s="12" t="s">
        <v>57</v>
      </c>
      <c r="E232" s="12" t="s">
        <v>58</v>
      </c>
      <c r="F232" s="12" t="s">
        <v>33</v>
      </c>
      <c r="G232" s="12" t="s">
        <v>34</v>
      </c>
      <c r="H232" s="12" t="s">
        <v>109</v>
      </c>
      <c r="I232" s="12" t="s">
        <v>27</v>
      </c>
      <c r="J232" s="12" t="s">
        <v>110</v>
      </c>
      <c r="K232" s="12" t="s">
        <v>111</v>
      </c>
      <c r="L232" s="12" t="s">
        <v>2</v>
      </c>
      <c r="M232" s="12" t="s">
        <v>2</v>
      </c>
      <c r="N232" s="12" t="s">
        <v>99</v>
      </c>
      <c r="O232" s="12" t="s">
        <v>99</v>
      </c>
      <c r="P232" s="12" t="s">
        <v>101</v>
      </c>
      <c r="Q232" s="12" t="s">
        <v>118</v>
      </c>
      <c r="R232" s="12" t="s">
        <v>149</v>
      </c>
      <c r="S232" s="18">
        <f>_xlfn.XLOOKUP(R232,'Price Assumptions'!E:E,'Price Assumptions'!G:G)</f>
        <v>2.99</v>
      </c>
      <c r="T232" s="18">
        <f t="shared" si="3"/>
        <v>6879007.5471162312</v>
      </c>
      <c r="U232" s="12" t="s">
        <v>30</v>
      </c>
      <c r="V232" s="12" t="s">
        <v>9</v>
      </c>
      <c r="W232" s="19">
        <v>2300671.420440211</v>
      </c>
    </row>
    <row r="233" spans="3:23" x14ac:dyDescent="0.3">
      <c r="C233" s="12">
        <v>2028</v>
      </c>
      <c r="D233" s="12" t="s">
        <v>59</v>
      </c>
      <c r="E233" s="12" t="s">
        <v>60</v>
      </c>
      <c r="F233" s="12" t="s">
        <v>33</v>
      </c>
      <c r="G233" s="12" t="s">
        <v>34</v>
      </c>
      <c r="H233" s="12" t="s">
        <v>109</v>
      </c>
      <c r="I233" s="12" t="s">
        <v>27</v>
      </c>
      <c r="J233" s="12" t="s">
        <v>96</v>
      </c>
      <c r="K233" s="12" t="s">
        <v>29</v>
      </c>
      <c r="L233" s="12" t="s">
        <v>2</v>
      </c>
      <c r="M233" s="12" t="s">
        <v>2</v>
      </c>
      <c r="N233" s="12" t="s">
        <v>107</v>
      </c>
      <c r="O233" s="12" t="s">
        <v>107</v>
      </c>
      <c r="P233" s="12" t="s">
        <v>108</v>
      </c>
      <c r="Q233" s="12" t="s">
        <v>100</v>
      </c>
      <c r="R233" s="12" t="s">
        <v>148</v>
      </c>
      <c r="S233" s="18">
        <f>_xlfn.XLOOKUP(R233,'Price Assumptions'!E:E,'Price Assumptions'!G:G)</f>
        <v>5</v>
      </c>
      <c r="T233" s="18">
        <f t="shared" si="3"/>
        <v>2277661.7538199998</v>
      </c>
      <c r="U233" s="12" t="s">
        <v>30</v>
      </c>
      <c r="V233" s="12" t="s">
        <v>9</v>
      </c>
      <c r="W233" s="19">
        <v>455532.35076399997</v>
      </c>
    </row>
    <row r="234" spans="3:23" x14ac:dyDescent="0.3">
      <c r="C234" s="12">
        <v>2028</v>
      </c>
      <c r="D234" s="12" t="s">
        <v>61</v>
      </c>
      <c r="E234" s="12" t="s">
        <v>62</v>
      </c>
      <c r="F234" s="12" t="s">
        <v>33</v>
      </c>
      <c r="G234" s="12" t="s">
        <v>34</v>
      </c>
      <c r="H234" s="12" t="s">
        <v>109</v>
      </c>
      <c r="I234" s="12" t="s">
        <v>27</v>
      </c>
      <c r="J234" s="12" t="s">
        <v>28</v>
      </c>
      <c r="K234" s="12" t="s">
        <v>29</v>
      </c>
      <c r="L234" s="12" t="s">
        <v>2</v>
      </c>
      <c r="M234" s="12" t="s">
        <v>2</v>
      </c>
      <c r="N234" s="12" t="s">
        <v>107</v>
      </c>
      <c r="O234" s="12" t="s">
        <v>107</v>
      </c>
      <c r="P234" s="12" t="s">
        <v>108</v>
      </c>
      <c r="Q234" s="12" t="s">
        <v>100</v>
      </c>
      <c r="R234" s="12" t="s">
        <v>148</v>
      </c>
      <c r="S234" s="18">
        <f>_xlfn.XLOOKUP(R234,'Price Assumptions'!E:E,'Price Assumptions'!G:G)</f>
        <v>5</v>
      </c>
      <c r="T234" s="18">
        <f t="shared" si="3"/>
        <v>139703.89096441399</v>
      </c>
      <c r="U234" s="12" t="s">
        <v>30</v>
      </c>
      <c r="V234" s="12" t="s">
        <v>9</v>
      </c>
      <c r="W234" s="19">
        <v>27940.778192882801</v>
      </c>
    </row>
    <row r="235" spans="3:23" x14ac:dyDescent="0.3">
      <c r="C235" s="12">
        <v>2028</v>
      </c>
      <c r="D235" s="12" t="s">
        <v>63</v>
      </c>
      <c r="E235" s="12" t="s">
        <v>64</v>
      </c>
      <c r="F235" s="12" t="s">
        <v>33</v>
      </c>
      <c r="G235" s="12" t="s">
        <v>34</v>
      </c>
      <c r="H235" s="12" t="s">
        <v>109</v>
      </c>
      <c r="I235" s="12" t="s">
        <v>27</v>
      </c>
      <c r="J235" s="12" t="s">
        <v>96</v>
      </c>
      <c r="K235" s="12" t="s">
        <v>29</v>
      </c>
      <c r="L235" s="12" t="s">
        <v>2</v>
      </c>
      <c r="M235" s="12" t="s">
        <v>2</v>
      </c>
      <c r="N235" s="12" t="s">
        <v>107</v>
      </c>
      <c r="O235" s="12" t="s">
        <v>99</v>
      </c>
      <c r="P235" s="12" t="s">
        <v>101</v>
      </c>
      <c r="Q235" s="12" t="s">
        <v>118</v>
      </c>
      <c r="R235" s="12" t="s">
        <v>149</v>
      </c>
      <c r="S235" s="18">
        <f>_xlfn.XLOOKUP(R235,'Price Assumptions'!E:E,'Price Assumptions'!G:G)</f>
        <v>2.99</v>
      </c>
      <c r="T235" s="18">
        <f t="shared" si="3"/>
        <v>3129949.6065755519</v>
      </c>
      <c r="U235" s="12" t="s">
        <v>30</v>
      </c>
      <c r="V235" s="12" t="s">
        <v>9</v>
      </c>
      <c r="W235" s="19">
        <v>1046805.8884868065</v>
      </c>
    </row>
    <row r="236" spans="3:23" x14ac:dyDescent="0.3">
      <c r="C236" s="12">
        <v>2028</v>
      </c>
      <c r="D236" s="12" t="s">
        <v>73</v>
      </c>
      <c r="E236" s="12" t="s">
        <v>74</v>
      </c>
      <c r="F236" s="12" t="s">
        <v>33</v>
      </c>
      <c r="G236" s="12" t="s">
        <v>34</v>
      </c>
      <c r="H236" s="12" t="s">
        <v>109</v>
      </c>
      <c r="I236" s="12" t="s">
        <v>27</v>
      </c>
      <c r="J236" s="12" t="s">
        <v>96</v>
      </c>
      <c r="K236" s="12" t="s">
        <v>29</v>
      </c>
      <c r="L236" s="12" t="s">
        <v>2</v>
      </c>
      <c r="M236" s="12" t="s">
        <v>2</v>
      </c>
      <c r="N236" s="12" t="s">
        <v>107</v>
      </c>
      <c r="O236" s="12" t="s">
        <v>107</v>
      </c>
      <c r="P236" s="12" t="s">
        <v>108</v>
      </c>
      <c r="Q236" s="12" t="s">
        <v>120</v>
      </c>
      <c r="R236" s="12" t="s">
        <v>150</v>
      </c>
      <c r="S236" s="18">
        <f>_xlfn.XLOOKUP(R236,'Price Assumptions'!E:E,'Price Assumptions'!G:G)</f>
        <v>2.99</v>
      </c>
      <c r="T236" s="18">
        <f t="shared" si="3"/>
        <v>579574.68034340616</v>
      </c>
      <c r="U236" s="12" t="s">
        <v>30</v>
      </c>
      <c r="V236" s="12" t="s">
        <v>9</v>
      </c>
      <c r="W236" s="19">
        <v>193837.68573358064</v>
      </c>
    </row>
    <row r="237" spans="3:23" x14ac:dyDescent="0.3">
      <c r="C237" s="12">
        <v>2028</v>
      </c>
      <c r="D237" s="12" t="s">
        <v>79</v>
      </c>
      <c r="E237" s="12" t="s">
        <v>80</v>
      </c>
      <c r="F237" s="12" t="s">
        <v>33</v>
      </c>
      <c r="G237" s="12" t="s">
        <v>34</v>
      </c>
      <c r="H237" s="12" t="s">
        <v>109</v>
      </c>
      <c r="I237" s="12" t="s">
        <v>27</v>
      </c>
      <c r="J237" s="12" t="s">
        <v>96</v>
      </c>
      <c r="K237" s="12" t="s">
        <v>29</v>
      </c>
      <c r="L237" s="12" t="s">
        <v>2</v>
      </c>
      <c r="M237" s="12" t="s">
        <v>2</v>
      </c>
      <c r="N237" s="12" t="s">
        <v>103</v>
      </c>
      <c r="O237" s="12" t="s">
        <v>103</v>
      </c>
      <c r="P237" s="12" t="s">
        <v>101</v>
      </c>
      <c r="Q237" s="12" t="s">
        <v>118</v>
      </c>
      <c r="R237" s="12" t="s">
        <v>149</v>
      </c>
      <c r="S237" s="18">
        <f>_xlfn.XLOOKUP(R237,'Price Assumptions'!E:E,'Price Assumptions'!G:G)</f>
        <v>2.99</v>
      </c>
      <c r="T237" s="18">
        <f t="shared" si="3"/>
        <v>35549840.868679062</v>
      </c>
      <c r="U237" s="12" t="s">
        <v>30</v>
      </c>
      <c r="V237" s="12" t="s">
        <v>9</v>
      </c>
      <c r="W237" s="19">
        <v>11889578.88584584</v>
      </c>
    </row>
    <row r="238" spans="3:23" x14ac:dyDescent="0.3">
      <c r="C238" s="12">
        <v>2028</v>
      </c>
      <c r="D238" s="12" t="s">
        <v>88</v>
      </c>
      <c r="E238" s="12" t="s">
        <v>89</v>
      </c>
      <c r="F238" s="12" t="s">
        <v>33</v>
      </c>
      <c r="G238" s="12" t="s">
        <v>34</v>
      </c>
      <c r="H238" s="12" t="s">
        <v>109</v>
      </c>
      <c r="I238" s="12" t="s">
        <v>27</v>
      </c>
      <c r="J238" s="12" t="s">
        <v>96</v>
      </c>
      <c r="K238" s="12" t="s">
        <v>29</v>
      </c>
      <c r="L238" s="12" t="s">
        <v>2</v>
      </c>
      <c r="M238" s="12" t="s">
        <v>2</v>
      </c>
      <c r="N238" s="12" t="s">
        <v>107</v>
      </c>
      <c r="O238" s="12" t="s">
        <v>107</v>
      </c>
      <c r="P238" s="12" t="s">
        <v>108</v>
      </c>
      <c r="Q238" s="12" t="s">
        <v>120</v>
      </c>
      <c r="R238" s="12" t="s">
        <v>150</v>
      </c>
      <c r="S238" s="18">
        <f>_xlfn.XLOOKUP(R238,'Price Assumptions'!E:E,'Price Assumptions'!G:G)</f>
        <v>2.99</v>
      </c>
      <c r="T238" s="18">
        <f t="shared" si="3"/>
        <v>4374965.5112188328</v>
      </c>
      <c r="U238" s="12" t="s">
        <v>30</v>
      </c>
      <c r="V238" s="12" t="s">
        <v>9</v>
      </c>
      <c r="W238" s="19">
        <v>1463199.1676317165</v>
      </c>
    </row>
    <row r="239" spans="3:23" x14ac:dyDescent="0.3">
      <c r="C239" s="12">
        <v>2028</v>
      </c>
      <c r="D239" s="12" t="s">
        <v>90</v>
      </c>
      <c r="E239" s="12" t="s">
        <v>91</v>
      </c>
      <c r="F239" s="12" t="s">
        <v>33</v>
      </c>
      <c r="G239" s="12" t="s">
        <v>34</v>
      </c>
      <c r="H239" s="12" t="s">
        <v>109</v>
      </c>
      <c r="I239" s="12" t="s">
        <v>27</v>
      </c>
      <c r="J239" s="12" t="s">
        <v>28</v>
      </c>
      <c r="K239" s="12" t="s">
        <v>29</v>
      </c>
      <c r="L239" s="12" t="s">
        <v>2</v>
      </c>
      <c r="M239" s="12" t="s">
        <v>2</v>
      </c>
      <c r="N239" s="12" t="s">
        <v>107</v>
      </c>
      <c r="O239" s="12" t="s">
        <v>107</v>
      </c>
      <c r="P239" s="12" t="s">
        <v>108</v>
      </c>
      <c r="Q239" s="12" t="s">
        <v>118</v>
      </c>
      <c r="R239" s="12" t="s">
        <v>149</v>
      </c>
      <c r="S239" s="18">
        <f>_xlfn.XLOOKUP(R239,'Price Assumptions'!E:E,'Price Assumptions'!G:G)</f>
        <v>2.99</v>
      </c>
      <c r="T239" s="18">
        <f t="shared" si="3"/>
        <v>2075407.2391114701</v>
      </c>
      <c r="U239" s="12" t="s">
        <v>30</v>
      </c>
      <c r="V239" s="12" t="s">
        <v>9</v>
      </c>
      <c r="W239" s="19">
        <v>694116.13348209695</v>
      </c>
    </row>
    <row r="240" spans="3:23" x14ac:dyDescent="0.3">
      <c r="C240" s="12">
        <v>2028</v>
      </c>
      <c r="D240" s="12" t="s">
        <v>92</v>
      </c>
      <c r="E240" s="12" t="s">
        <v>93</v>
      </c>
      <c r="F240" s="12" t="s">
        <v>33</v>
      </c>
      <c r="G240" s="12" t="s">
        <v>34</v>
      </c>
      <c r="H240" s="12" t="s">
        <v>109</v>
      </c>
      <c r="I240" s="12" t="s">
        <v>27</v>
      </c>
      <c r="J240" s="12" t="s">
        <v>96</v>
      </c>
      <c r="K240" s="12" t="s">
        <v>29</v>
      </c>
      <c r="L240" s="12" t="s">
        <v>2</v>
      </c>
      <c r="M240" s="12" t="s">
        <v>2</v>
      </c>
      <c r="N240" s="12" t="s">
        <v>107</v>
      </c>
      <c r="O240" s="12" t="s">
        <v>107</v>
      </c>
      <c r="P240" s="12" t="s">
        <v>108</v>
      </c>
      <c r="Q240" s="12" t="s">
        <v>118</v>
      </c>
      <c r="R240" s="12" t="s">
        <v>149</v>
      </c>
      <c r="S240" s="18">
        <f>_xlfn.XLOOKUP(R240,'Price Assumptions'!E:E,'Price Assumptions'!G:G)</f>
        <v>2.99</v>
      </c>
      <c r="T240" s="18">
        <f t="shared" si="3"/>
        <v>13263374.475401713</v>
      </c>
      <c r="U240" s="12" t="s">
        <v>30</v>
      </c>
      <c r="V240" s="12" t="s">
        <v>9</v>
      </c>
      <c r="W240" s="19">
        <v>4435911.1957865255</v>
      </c>
    </row>
    <row r="241" spans="3:23" x14ac:dyDescent="0.3">
      <c r="C241" s="12">
        <v>2028</v>
      </c>
      <c r="D241" s="12" t="s">
        <v>94</v>
      </c>
      <c r="E241" s="12" t="s">
        <v>95</v>
      </c>
      <c r="F241" s="12" t="s">
        <v>33</v>
      </c>
      <c r="G241" s="12" t="s">
        <v>34</v>
      </c>
      <c r="H241" s="12" t="s">
        <v>109</v>
      </c>
      <c r="I241" s="12" t="s">
        <v>27</v>
      </c>
      <c r="J241" s="12" t="s">
        <v>96</v>
      </c>
      <c r="K241" s="12" t="s">
        <v>29</v>
      </c>
      <c r="L241" s="12" t="s">
        <v>2</v>
      </c>
      <c r="M241" s="12" t="s">
        <v>2</v>
      </c>
      <c r="N241" s="12" t="s">
        <v>107</v>
      </c>
      <c r="O241" s="12" t="s">
        <v>107</v>
      </c>
      <c r="P241" s="12" t="s">
        <v>108</v>
      </c>
      <c r="Q241" s="12" t="s">
        <v>118</v>
      </c>
      <c r="R241" s="12" t="s">
        <v>149</v>
      </c>
      <c r="S241" s="18">
        <f>_xlfn.XLOOKUP(R241,'Price Assumptions'!E:E,'Price Assumptions'!G:G)</f>
        <v>2.99</v>
      </c>
      <c r="T241" s="18">
        <f t="shared" si="3"/>
        <v>2945153.3294104435</v>
      </c>
      <c r="U241" s="12" t="s">
        <v>30</v>
      </c>
      <c r="V241" s="12" t="s">
        <v>9</v>
      </c>
      <c r="W241" s="19">
        <v>985001.11351519846</v>
      </c>
    </row>
    <row r="242" spans="3:23" x14ac:dyDescent="0.3">
      <c r="C242" s="12">
        <v>2029</v>
      </c>
      <c r="D242" s="12" t="s">
        <v>31</v>
      </c>
      <c r="E242" s="12" t="s">
        <v>32</v>
      </c>
      <c r="F242" s="12" t="s">
        <v>33</v>
      </c>
      <c r="G242" s="12" t="s">
        <v>34</v>
      </c>
      <c r="H242" s="12" t="s">
        <v>109</v>
      </c>
      <c r="I242" s="12" t="s">
        <v>27</v>
      </c>
      <c r="J242" s="12" t="s">
        <v>96</v>
      </c>
      <c r="K242" s="12" t="s">
        <v>29</v>
      </c>
      <c r="L242" s="12" t="s">
        <v>2</v>
      </c>
      <c r="M242" s="12" t="s">
        <v>2</v>
      </c>
      <c r="N242" s="12" t="s">
        <v>107</v>
      </c>
      <c r="O242" s="12" t="s">
        <v>107</v>
      </c>
      <c r="P242" s="12" t="s">
        <v>108</v>
      </c>
      <c r="Q242" s="12" t="s">
        <v>120</v>
      </c>
      <c r="R242" s="12" t="s">
        <v>153</v>
      </c>
      <c r="S242" s="18">
        <f>_xlfn.XLOOKUP(R242,'Price Assumptions'!E:E,'Price Assumptions'!G:G)</f>
        <v>2.99</v>
      </c>
      <c r="T242" s="18">
        <f t="shared" si="3"/>
        <v>5949298.5261657368</v>
      </c>
      <c r="U242" s="12" t="s">
        <v>30</v>
      </c>
      <c r="V242" s="12" t="s">
        <v>9</v>
      </c>
      <c r="W242" s="19">
        <v>1989731.9485504134</v>
      </c>
    </row>
    <row r="243" spans="3:23" x14ac:dyDescent="0.3">
      <c r="C243" s="12">
        <v>2029</v>
      </c>
      <c r="D243" s="12" t="s">
        <v>35</v>
      </c>
      <c r="E243" s="12" t="s">
        <v>36</v>
      </c>
      <c r="F243" s="12" t="s">
        <v>33</v>
      </c>
      <c r="G243" s="12" t="s">
        <v>34</v>
      </c>
      <c r="H243" s="12" t="s">
        <v>109</v>
      </c>
      <c r="I243" s="12" t="s">
        <v>27</v>
      </c>
      <c r="J243" s="12" t="s">
        <v>96</v>
      </c>
      <c r="K243" s="12" t="s">
        <v>29</v>
      </c>
      <c r="L243" s="12" t="s">
        <v>2</v>
      </c>
      <c r="M243" s="12" t="s">
        <v>2</v>
      </c>
      <c r="N243" s="12" t="s">
        <v>104</v>
      </c>
      <c r="O243" s="12" t="s">
        <v>104</v>
      </c>
      <c r="P243" s="12" t="s">
        <v>100</v>
      </c>
      <c r="Q243" s="12" t="s">
        <v>100</v>
      </c>
      <c r="R243" s="12" t="s">
        <v>151</v>
      </c>
      <c r="S243" s="18">
        <f>_xlfn.XLOOKUP(R243,'Price Assumptions'!E:E,'Price Assumptions'!G:G)</f>
        <v>5</v>
      </c>
      <c r="T243" s="18">
        <f t="shared" si="3"/>
        <v>4310843.306686827</v>
      </c>
      <c r="U243" s="12" t="s">
        <v>30</v>
      </c>
      <c r="V243" s="12" t="s">
        <v>9</v>
      </c>
      <c r="W243" s="19">
        <v>862168.6613373654</v>
      </c>
    </row>
    <row r="244" spans="3:23" x14ac:dyDescent="0.3">
      <c r="C244" s="12">
        <v>2029</v>
      </c>
      <c r="D244" s="12" t="s">
        <v>37</v>
      </c>
      <c r="E244" s="12" t="s">
        <v>38</v>
      </c>
      <c r="F244" s="12" t="s">
        <v>33</v>
      </c>
      <c r="G244" s="12" t="s">
        <v>34</v>
      </c>
      <c r="H244" s="12" t="s">
        <v>109</v>
      </c>
      <c r="I244" s="12" t="s">
        <v>27</v>
      </c>
      <c r="J244" s="12" t="s">
        <v>28</v>
      </c>
      <c r="K244" s="12" t="s">
        <v>29</v>
      </c>
      <c r="L244" s="12" t="s">
        <v>2</v>
      </c>
      <c r="M244" s="12" t="s">
        <v>2</v>
      </c>
      <c r="N244" s="12" t="s">
        <v>107</v>
      </c>
      <c r="O244" s="12" t="s">
        <v>99</v>
      </c>
      <c r="P244" s="12" t="s">
        <v>101</v>
      </c>
      <c r="Q244" s="12" t="s">
        <v>118</v>
      </c>
      <c r="R244" s="12" t="s">
        <v>152</v>
      </c>
      <c r="S244" s="18">
        <f>_xlfn.XLOOKUP(R244,'Price Assumptions'!E:E,'Price Assumptions'!G:G)</f>
        <v>2.99</v>
      </c>
      <c r="T244" s="18">
        <f t="shared" si="3"/>
        <v>6574240.0312153082</v>
      </c>
      <c r="U244" s="12" t="s">
        <v>30</v>
      </c>
      <c r="V244" s="12" t="s">
        <v>9</v>
      </c>
      <c r="W244" s="19">
        <v>2198742.4853562904</v>
      </c>
    </row>
    <row r="245" spans="3:23" x14ac:dyDescent="0.3">
      <c r="C245" s="12">
        <v>2029</v>
      </c>
      <c r="D245" s="12" t="s">
        <v>41</v>
      </c>
      <c r="E245" s="12" t="s">
        <v>42</v>
      </c>
      <c r="F245" s="12" t="s">
        <v>33</v>
      </c>
      <c r="G245" s="12" t="s">
        <v>34</v>
      </c>
      <c r="H245" s="12" t="s">
        <v>109</v>
      </c>
      <c r="I245" s="12" t="s">
        <v>27</v>
      </c>
      <c r="J245" s="12" t="s">
        <v>96</v>
      </c>
      <c r="K245" s="12" t="s">
        <v>29</v>
      </c>
      <c r="L245" s="12" t="s">
        <v>2</v>
      </c>
      <c r="M245" s="12" t="s">
        <v>2</v>
      </c>
      <c r="N245" s="12" t="s">
        <v>107</v>
      </c>
      <c r="O245" s="12" t="s">
        <v>99</v>
      </c>
      <c r="P245" s="12" t="s">
        <v>101</v>
      </c>
      <c r="Q245" s="12" t="s">
        <v>118</v>
      </c>
      <c r="R245" s="12" t="s">
        <v>152</v>
      </c>
      <c r="S245" s="18">
        <f>_xlfn.XLOOKUP(R245,'Price Assumptions'!E:E,'Price Assumptions'!G:G)</f>
        <v>2.99</v>
      </c>
      <c r="T245" s="18">
        <f t="shared" si="3"/>
        <v>5367105.7489767028</v>
      </c>
      <c r="U245" s="12" t="s">
        <v>30</v>
      </c>
      <c r="V245" s="12" t="s">
        <v>9</v>
      </c>
      <c r="W245" s="19">
        <v>1795018.6451427098</v>
      </c>
    </row>
    <row r="246" spans="3:23" x14ac:dyDescent="0.3">
      <c r="C246" s="12">
        <v>2029</v>
      </c>
      <c r="D246" s="12" t="s">
        <v>47</v>
      </c>
      <c r="E246" s="12" t="s">
        <v>48</v>
      </c>
      <c r="F246" s="12" t="s">
        <v>33</v>
      </c>
      <c r="G246" s="12" t="s">
        <v>34</v>
      </c>
      <c r="H246" s="12" t="s">
        <v>109</v>
      </c>
      <c r="I246" s="12" t="s">
        <v>27</v>
      </c>
      <c r="J246" s="12" t="s">
        <v>110</v>
      </c>
      <c r="K246" s="12" t="s">
        <v>111</v>
      </c>
      <c r="L246" s="12" t="s">
        <v>2</v>
      </c>
      <c r="M246" s="12" t="s">
        <v>2</v>
      </c>
      <c r="N246" s="12" t="s">
        <v>107</v>
      </c>
      <c r="O246" s="12" t="s">
        <v>107</v>
      </c>
      <c r="P246" s="12" t="s">
        <v>108</v>
      </c>
      <c r="Q246" s="12" t="s">
        <v>120</v>
      </c>
      <c r="R246" s="12" t="s">
        <v>153</v>
      </c>
      <c r="S246" s="18">
        <f>_xlfn.XLOOKUP(R246,'Price Assumptions'!E:E,'Price Assumptions'!G:G)</f>
        <v>2.99</v>
      </c>
      <c r="T246" s="18">
        <f t="shared" si="3"/>
        <v>1133830.2293697658</v>
      </c>
      <c r="U246" s="12" t="s">
        <v>30</v>
      </c>
      <c r="V246" s="12" t="s">
        <v>9</v>
      </c>
      <c r="W246" s="19">
        <v>379207.43457182799</v>
      </c>
    </row>
    <row r="247" spans="3:23" x14ac:dyDescent="0.3">
      <c r="C247" s="12">
        <v>2029</v>
      </c>
      <c r="D247" s="12" t="s">
        <v>49</v>
      </c>
      <c r="E247" s="12" t="s">
        <v>50</v>
      </c>
      <c r="F247" s="12" t="s">
        <v>33</v>
      </c>
      <c r="G247" s="12" t="s">
        <v>34</v>
      </c>
      <c r="H247" s="12" t="s">
        <v>109</v>
      </c>
      <c r="I247" s="12" t="s">
        <v>27</v>
      </c>
      <c r="J247" s="12" t="s">
        <v>110</v>
      </c>
      <c r="K247" s="12" t="s">
        <v>111</v>
      </c>
      <c r="L247" s="12" t="s">
        <v>2</v>
      </c>
      <c r="M247" s="12" t="s">
        <v>2</v>
      </c>
      <c r="N247" s="12" t="s">
        <v>105</v>
      </c>
      <c r="O247" s="12" t="s">
        <v>105</v>
      </c>
      <c r="P247" s="12" t="s">
        <v>101</v>
      </c>
      <c r="Q247" s="12" t="s">
        <v>118</v>
      </c>
      <c r="R247" s="12" t="s">
        <v>152</v>
      </c>
      <c r="S247" s="18">
        <f>_xlfn.XLOOKUP(R247,'Price Assumptions'!E:E,'Price Assumptions'!G:G)</f>
        <v>2.99</v>
      </c>
      <c r="T247" s="18">
        <f t="shared" si="3"/>
        <v>7101990.2741931118</v>
      </c>
      <c r="U247" s="12" t="s">
        <v>30</v>
      </c>
      <c r="V247" s="12" t="s">
        <v>9</v>
      </c>
      <c r="W247" s="19">
        <v>2375247.5833421778</v>
      </c>
    </row>
    <row r="248" spans="3:23" x14ac:dyDescent="0.3">
      <c r="C248" s="12">
        <v>2029</v>
      </c>
      <c r="D248" s="12" t="s">
        <v>53</v>
      </c>
      <c r="E248" s="12" t="s">
        <v>54</v>
      </c>
      <c r="F248" s="12" t="s">
        <v>33</v>
      </c>
      <c r="G248" s="12" t="s">
        <v>34</v>
      </c>
      <c r="H248" s="12" t="s">
        <v>109</v>
      </c>
      <c r="I248" s="12" t="s">
        <v>27</v>
      </c>
      <c r="J248" s="12" t="s">
        <v>96</v>
      </c>
      <c r="K248" s="12" t="s">
        <v>29</v>
      </c>
      <c r="L248" s="12" t="s">
        <v>2</v>
      </c>
      <c r="M248" s="12" t="s">
        <v>2</v>
      </c>
      <c r="N248" s="12" t="s">
        <v>107</v>
      </c>
      <c r="O248" s="12" t="s">
        <v>107</v>
      </c>
      <c r="P248" s="12" t="s">
        <v>108</v>
      </c>
      <c r="Q248" s="12" t="s">
        <v>118</v>
      </c>
      <c r="R248" s="12" t="s">
        <v>152</v>
      </c>
      <c r="S248" s="18">
        <f>_xlfn.XLOOKUP(R248,'Price Assumptions'!E:E,'Price Assumptions'!G:G)</f>
        <v>2.99</v>
      </c>
      <c r="T248" s="18">
        <f t="shared" si="3"/>
        <v>13822413.485721223</v>
      </c>
      <c r="U248" s="12" t="s">
        <v>30</v>
      </c>
      <c r="V248" s="12" t="s">
        <v>9</v>
      </c>
      <c r="W248" s="19">
        <v>4622880.7644552579</v>
      </c>
    </row>
    <row r="249" spans="3:23" x14ac:dyDescent="0.3">
      <c r="C249" s="12">
        <v>2029</v>
      </c>
      <c r="D249" s="12" t="s">
        <v>57</v>
      </c>
      <c r="E249" s="12" t="s">
        <v>58</v>
      </c>
      <c r="F249" s="12" t="s">
        <v>33</v>
      </c>
      <c r="G249" s="12" t="s">
        <v>34</v>
      </c>
      <c r="H249" s="12" t="s">
        <v>109</v>
      </c>
      <c r="I249" s="12" t="s">
        <v>27</v>
      </c>
      <c r="J249" s="12" t="s">
        <v>110</v>
      </c>
      <c r="K249" s="12" t="s">
        <v>111</v>
      </c>
      <c r="L249" s="12" t="s">
        <v>2</v>
      </c>
      <c r="M249" s="12" t="s">
        <v>2</v>
      </c>
      <c r="N249" s="12" t="s">
        <v>99</v>
      </c>
      <c r="O249" s="12" t="s">
        <v>99</v>
      </c>
      <c r="P249" s="12" t="s">
        <v>101</v>
      </c>
      <c r="Q249" s="12" t="s">
        <v>118</v>
      </c>
      <c r="R249" s="12" t="s">
        <v>152</v>
      </c>
      <c r="S249" s="18">
        <f>_xlfn.XLOOKUP(R249,'Price Assumptions'!E:E,'Price Assumptions'!G:G)</f>
        <v>2.99</v>
      </c>
      <c r="T249" s="18">
        <f t="shared" si="3"/>
        <v>6915353.6617627004</v>
      </c>
      <c r="U249" s="12" t="s">
        <v>30</v>
      </c>
      <c r="V249" s="12" t="s">
        <v>9</v>
      </c>
      <c r="W249" s="19">
        <v>2312827.3116263212</v>
      </c>
    </row>
    <row r="250" spans="3:23" x14ac:dyDescent="0.3">
      <c r="C250" s="12">
        <v>2029</v>
      </c>
      <c r="D250" s="12" t="s">
        <v>59</v>
      </c>
      <c r="E250" s="12" t="s">
        <v>60</v>
      </c>
      <c r="F250" s="12" t="s">
        <v>33</v>
      </c>
      <c r="G250" s="12" t="s">
        <v>34</v>
      </c>
      <c r="H250" s="12" t="s">
        <v>109</v>
      </c>
      <c r="I250" s="12" t="s">
        <v>27</v>
      </c>
      <c r="J250" s="12" t="s">
        <v>110</v>
      </c>
      <c r="K250" s="12" t="s">
        <v>111</v>
      </c>
      <c r="L250" s="12" t="s">
        <v>2</v>
      </c>
      <c r="M250" s="12" t="s">
        <v>2</v>
      </c>
      <c r="N250" s="12" t="s">
        <v>107</v>
      </c>
      <c r="O250" s="12" t="s">
        <v>107</v>
      </c>
      <c r="P250" s="12" t="s">
        <v>108</v>
      </c>
      <c r="Q250" s="12" t="s">
        <v>100</v>
      </c>
      <c r="R250" s="12" t="s">
        <v>151</v>
      </c>
      <c r="S250" s="18">
        <f>_xlfn.XLOOKUP(R250,'Price Assumptions'!E:E,'Price Assumptions'!G:G)</f>
        <v>5</v>
      </c>
      <c r="T250" s="18">
        <f t="shared" si="3"/>
        <v>2367376.0240888712</v>
      </c>
      <c r="U250" s="12" t="s">
        <v>30</v>
      </c>
      <c r="V250" s="12" t="s">
        <v>9</v>
      </c>
      <c r="W250" s="19">
        <v>473475.20481777424</v>
      </c>
    </row>
    <row r="251" spans="3:23" x14ac:dyDescent="0.3">
      <c r="C251" s="12">
        <v>2029</v>
      </c>
      <c r="D251" s="12" t="s">
        <v>61</v>
      </c>
      <c r="E251" s="12" t="s">
        <v>62</v>
      </c>
      <c r="F251" s="12" t="s">
        <v>33</v>
      </c>
      <c r="G251" s="12" t="s">
        <v>34</v>
      </c>
      <c r="H251" s="12" t="s">
        <v>109</v>
      </c>
      <c r="I251" s="12" t="s">
        <v>27</v>
      </c>
      <c r="J251" s="12" t="s">
        <v>28</v>
      </c>
      <c r="K251" s="12" t="s">
        <v>29</v>
      </c>
      <c r="L251" s="12" t="s">
        <v>2</v>
      </c>
      <c r="M251" s="12" t="s">
        <v>2</v>
      </c>
      <c r="N251" s="12" t="s">
        <v>107</v>
      </c>
      <c r="O251" s="12" t="s">
        <v>107</v>
      </c>
      <c r="P251" s="12" t="s">
        <v>108</v>
      </c>
      <c r="Q251" s="12" t="s">
        <v>100</v>
      </c>
      <c r="R251" s="12" t="s">
        <v>151</v>
      </c>
      <c r="S251" s="18">
        <f>_xlfn.XLOOKUP(R251,'Price Assumptions'!E:E,'Price Assumptions'!G:G)</f>
        <v>5</v>
      </c>
      <c r="T251" s="18">
        <f t="shared" si="3"/>
        <v>140045.67481246774</v>
      </c>
      <c r="U251" s="12" t="s">
        <v>30</v>
      </c>
      <c r="V251" s="12" t="s">
        <v>9</v>
      </c>
      <c r="W251" s="19">
        <v>28009.134962493546</v>
      </c>
    </row>
    <row r="252" spans="3:23" x14ac:dyDescent="0.3">
      <c r="C252" s="12">
        <v>2029</v>
      </c>
      <c r="D252" s="12" t="s">
        <v>63</v>
      </c>
      <c r="E252" s="12" t="s">
        <v>64</v>
      </c>
      <c r="F252" s="12" t="s">
        <v>33</v>
      </c>
      <c r="G252" s="12" t="s">
        <v>34</v>
      </c>
      <c r="H252" s="12" t="s">
        <v>109</v>
      </c>
      <c r="I252" s="12" t="s">
        <v>27</v>
      </c>
      <c r="J252" s="12" t="s">
        <v>96</v>
      </c>
      <c r="K252" s="12" t="s">
        <v>29</v>
      </c>
      <c r="L252" s="12" t="s">
        <v>2</v>
      </c>
      <c r="M252" s="12" t="s">
        <v>2</v>
      </c>
      <c r="N252" s="12" t="s">
        <v>107</v>
      </c>
      <c r="O252" s="12" t="s">
        <v>99</v>
      </c>
      <c r="P252" s="12" t="s">
        <v>101</v>
      </c>
      <c r="Q252" s="12" t="s">
        <v>118</v>
      </c>
      <c r="R252" s="12" t="s">
        <v>152</v>
      </c>
      <c r="S252" s="18">
        <f>_xlfn.XLOOKUP(R252,'Price Assumptions'!E:E,'Price Assumptions'!G:G)</f>
        <v>2.99</v>
      </c>
      <c r="T252" s="18">
        <f t="shared" si="3"/>
        <v>3156400.4820652828</v>
      </c>
      <c r="U252" s="12" t="s">
        <v>30</v>
      </c>
      <c r="V252" s="12" t="s">
        <v>9</v>
      </c>
      <c r="W252" s="19">
        <v>1055652.3351388904</v>
      </c>
    </row>
    <row r="253" spans="3:23" x14ac:dyDescent="0.3">
      <c r="C253" s="12">
        <v>2029</v>
      </c>
      <c r="D253" s="12" t="s">
        <v>73</v>
      </c>
      <c r="E253" s="12" t="s">
        <v>74</v>
      </c>
      <c r="F253" s="12" t="s">
        <v>33</v>
      </c>
      <c r="G253" s="12" t="s">
        <v>34</v>
      </c>
      <c r="H253" s="12" t="s">
        <v>109</v>
      </c>
      <c r="I253" s="12" t="s">
        <v>27</v>
      </c>
      <c r="J253" s="12" t="s">
        <v>96</v>
      </c>
      <c r="K253" s="12" t="s">
        <v>29</v>
      </c>
      <c r="L253" s="12" t="s">
        <v>2</v>
      </c>
      <c r="M253" s="12" t="s">
        <v>2</v>
      </c>
      <c r="N253" s="12" t="s">
        <v>107</v>
      </c>
      <c r="O253" s="12" t="s">
        <v>107</v>
      </c>
      <c r="P253" s="12" t="s">
        <v>108</v>
      </c>
      <c r="Q253" s="12" t="s">
        <v>120</v>
      </c>
      <c r="R253" s="12" t="s">
        <v>153</v>
      </c>
      <c r="S253" s="18">
        <f>_xlfn.XLOOKUP(R253,'Price Assumptions'!E:E,'Price Assumptions'!G:G)</f>
        <v>2.99</v>
      </c>
      <c r="T253" s="18">
        <f t="shared" si="3"/>
        <v>572355.27274978848</v>
      </c>
      <c r="U253" s="12" t="s">
        <v>30</v>
      </c>
      <c r="V253" s="12" t="s">
        <v>9</v>
      </c>
      <c r="W253" s="19">
        <v>191423.16814374196</v>
      </c>
    </row>
    <row r="254" spans="3:23" x14ac:dyDescent="0.3">
      <c r="C254" s="12">
        <v>2029</v>
      </c>
      <c r="D254" s="12" t="s">
        <v>79</v>
      </c>
      <c r="E254" s="12" t="s">
        <v>80</v>
      </c>
      <c r="F254" s="12" t="s">
        <v>33</v>
      </c>
      <c r="G254" s="12" t="s">
        <v>34</v>
      </c>
      <c r="H254" s="12" t="s">
        <v>109</v>
      </c>
      <c r="I254" s="12" t="s">
        <v>27</v>
      </c>
      <c r="J254" s="12" t="s">
        <v>96</v>
      </c>
      <c r="K254" s="12" t="s">
        <v>29</v>
      </c>
      <c r="L254" s="12" t="s">
        <v>2</v>
      </c>
      <c r="M254" s="12" t="s">
        <v>2</v>
      </c>
      <c r="N254" s="12" t="s">
        <v>103</v>
      </c>
      <c r="O254" s="12" t="s">
        <v>103</v>
      </c>
      <c r="P254" s="12" t="s">
        <v>101</v>
      </c>
      <c r="Q254" s="12" t="s">
        <v>118</v>
      </c>
      <c r="R254" s="12" t="s">
        <v>152</v>
      </c>
      <c r="S254" s="18">
        <f>_xlfn.XLOOKUP(R254,'Price Assumptions'!E:E,'Price Assumptions'!G:G)</f>
        <v>2.99</v>
      </c>
      <c r="T254" s="18">
        <f t="shared" si="3"/>
        <v>36380432.046802454</v>
      </c>
      <c r="U254" s="12" t="s">
        <v>30</v>
      </c>
      <c r="V254" s="12" t="s">
        <v>9</v>
      </c>
      <c r="W254" s="19">
        <v>12167368.577525903</v>
      </c>
    </row>
    <row r="255" spans="3:23" x14ac:dyDescent="0.3">
      <c r="C255" s="12">
        <v>2029</v>
      </c>
      <c r="D255" s="12" t="s">
        <v>88</v>
      </c>
      <c r="E255" s="12" t="s">
        <v>89</v>
      </c>
      <c r="F255" s="12" t="s">
        <v>33</v>
      </c>
      <c r="G255" s="12" t="s">
        <v>34</v>
      </c>
      <c r="H255" s="12" t="s">
        <v>109</v>
      </c>
      <c r="I255" s="12" t="s">
        <v>27</v>
      </c>
      <c r="J255" s="12" t="s">
        <v>96</v>
      </c>
      <c r="K255" s="12" t="s">
        <v>29</v>
      </c>
      <c r="L255" s="12" t="s">
        <v>2</v>
      </c>
      <c r="M255" s="12" t="s">
        <v>2</v>
      </c>
      <c r="N255" s="12" t="s">
        <v>107</v>
      </c>
      <c r="O255" s="12" t="s">
        <v>107</v>
      </c>
      <c r="P255" s="12" t="s">
        <v>108</v>
      </c>
      <c r="Q255" s="12" t="s">
        <v>120</v>
      </c>
      <c r="R255" s="12" t="s">
        <v>153</v>
      </c>
      <c r="S255" s="18">
        <f>_xlfn.XLOOKUP(R255,'Price Assumptions'!E:E,'Price Assumptions'!G:G)</f>
        <v>2.99</v>
      </c>
      <c r="T255" s="18">
        <f t="shared" si="3"/>
        <v>4368332.3375307452</v>
      </c>
      <c r="U255" s="12" t="s">
        <v>30</v>
      </c>
      <c r="V255" s="12" t="s">
        <v>9</v>
      </c>
      <c r="W255" s="19">
        <v>1460980.7148932258</v>
      </c>
    </row>
    <row r="256" spans="3:23" x14ac:dyDescent="0.3">
      <c r="C256" s="12">
        <v>2029</v>
      </c>
      <c r="D256" s="12" t="s">
        <v>90</v>
      </c>
      <c r="E256" s="12" t="s">
        <v>91</v>
      </c>
      <c r="F256" s="12" t="s">
        <v>33</v>
      </c>
      <c r="G256" s="12" t="s">
        <v>34</v>
      </c>
      <c r="H256" s="12" t="s">
        <v>109</v>
      </c>
      <c r="I256" s="12" t="s">
        <v>27</v>
      </c>
      <c r="J256" s="12" t="s">
        <v>28</v>
      </c>
      <c r="K256" s="12" t="s">
        <v>29</v>
      </c>
      <c r="L256" s="12" t="s">
        <v>2</v>
      </c>
      <c r="M256" s="12" t="s">
        <v>2</v>
      </c>
      <c r="N256" s="12" t="s">
        <v>107</v>
      </c>
      <c r="O256" s="12" t="s">
        <v>107</v>
      </c>
      <c r="P256" s="12" t="s">
        <v>108</v>
      </c>
      <c r="Q256" s="12" t="s">
        <v>118</v>
      </c>
      <c r="R256" s="12" t="s">
        <v>152</v>
      </c>
      <c r="S256" s="18">
        <f>_xlfn.XLOOKUP(R256,'Price Assumptions'!E:E,'Price Assumptions'!G:G)</f>
        <v>2.99</v>
      </c>
      <c r="T256" s="18">
        <f t="shared" si="3"/>
        <v>2128774.2732778518</v>
      </c>
      <c r="U256" s="12" t="s">
        <v>30</v>
      </c>
      <c r="V256" s="12" t="s">
        <v>9</v>
      </c>
      <c r="W256" s="19">
        <v>711964.6398922581</v>
      </c>
    </row>
    <row r="257" spans="3:23" x14ac:dyDescent="0.3">
      <c r="C257" s="12">
        <v>2029</v>
      </c>
      <c r="D257" s="12" t="s">
        <v>92</v>
      </c>
      <c r="E257" s="12" t="s">
        <v>93</v>
      </c>
      <c r="F257" s="12" t="s">
        <v>33</v>
      </c>
      <c r="G257" s="12" t="s">
        <v>34</v>
      </c>
      <c r="H257" s="12" t="s">
        <v>109</v>
      </c>
      <c r="I257" s="12" t="s">
        <v>27</v>
      </c>
      <c r="J257" s="12" t="s">
        <v>96</v>
      </c>
      <c r="K257" s="12" t="s">
        <v>29</v>
      </c>
      <c r="L257" s="12" t="s">
        <v>2</v>
      </c>
      <c r="M257" s="12" t="s">
        <v>2</v>
      </c>
      <c r="N257" s="12" t="s">
        <v>107</v>
      </c>
      <c r="O257" s="12" t="s">
        <v>107</v>
      </c>
      <c r="P257" s="12" t="s">
        <v>108</v>
      </c>
      <c r="Q257" s="12" t="s">
        <v>118</v>
      </c>
      <c r="R257" s="12" t="s">
        <v>152</v>
      </c>
      <c r="S257" s="18">
        <f>_xlfn.XLOOKUP(R257,'Price Assumptions'!E:E,'Price Assumptions'!G:G)</f>
        <v>2.99</v>
      </c>
      <c r="T257" s="18">
        <f t="shared" si="3"/>
        <v>13319003.213280201</v>
      </c>
      <c r="U257" s="12" t="s">
        <v>30</v>
      </c>
      <c r="V257" s="12" t="s">
        <v>9</v>
      </c>
      <c r="W257" s="19">
        <v>4454516.1248428766</v>
      </c>
    </row>
    <row r="258" spans="3:23" x14ac:dyDescent="0.3">
      <c r="C258" s="12">
        <v>2029</v>
      </c>
      <c r="D258" s="12" t="s">
        <v>94</v>
      </c>
      <c r="E258" s="12" t="s">
        <v>95</v>
      </c>
      <c r="F258" s="12" t="s">
        <v>33</v>
      </c>
      <c r="G258" s="12" t="s">
        <v>34</v>
      </c>
      <c r="H258" s="12" t="s">
        <v>109</v>
      </c>
      <c r="I258" s="12" t="s">
        <v>27</v>
      </c>
      <c r="J258" s="12" t="s">
        <v>96</v>
      </c>
      <c r="K258" s="12" t="s">
        <v>29</v>
      </c>
      <c r="L258" s="12" t="s">
        <v>2</v>
      </c>
      <c r="M258" s="12" t="s">
        <v>2</v>
      </c>
      <c r="N258" s="12" t="s">
        <v>107</v>
      </c>
      <c r="O258" s="12" t="s">
        <v>107</v>
      </c>
      <c r="P258" s="12" t="s">
        <v>108</v>
      </c>
      <c r="Q258" s="12" t="s">
        <v>118</v>
      </c>
      <c r="R258" s="12" t="s">
        <v>152</v>
      </c>
      <c r="S258" s="18">
        <f>_xlfn.XLOOKUP(R258,'Price Assumptions'!E:E,'Price Assumptions'!G:G)</f>
        <v>2.99</v>
      </c>
      <c r="T258" s="18">
        <f t="shared" si="3"/>
        <v>3016719.7816510936</v>
      </c>
      <c r="U258" s="12" t="s">
        <v>30</v>
      </c>
      <c r="V258" s="12" t="s">
        <v>9</v>
      </c>
      <c r="W258" s="19">
        <v>1008936.3818231082</v>
      </c>
    </row>
    <row r="259" spans="3:23" x14ac:dyDescent="0.3">
      <c r="C259" s="12">
        <v>2030</v>
      </c>
      <c r="D259" s="12" t="s">
        <v>31</v>
      </c>
      <c r="E259" s="12" t="s">
        <v>32</v>
      </c>
      <c r="F259" s="12" t="s">
        <v>33</v>
      </c>
      <c r="G259" s="12" t="s">
        <v>34</v>
      </c>
      <c r="H259" s="12" t="s">
        <v>109</v>
      </c>
      <c r="I259" s="12" t="s">
        <v>27</v>
      </c>
      <c r="J259" s="12" t="s">
        <v>96</v>
      </c>
      <c r="K259" s="12" t="s">
        <v>29</v>
      </c>
      <c r="L259" s="12" t="s">
        <v>2</v>
      </c>
      <c r="M259" s="12" t="s">
        <v>2</v>
      </c>
      <c r="N259" s="12" t="s">
        <v>107</v>
      </c>
      <c r="O259" s="12" t="s">
        <v>107</v>
      </c>
      <c r="P259" s="12" t="s">
        <v>108</v>
      </c>
      <c r="Q259" s="12" t="s">
        <v>120</v>
      </c>
      <c r="R259" s="12" t="s">
        <v>156</v>
      </c>
      <c r="S259" s="18">
        <f>_xlfn.XLOOKUP(R259,'Price Assumptions'!E:E,'Price Assumptions'!G:G)</f>
        <v>2.99</v>
      </c>
      <c r="T259" s="18">
        <f t="shared" si="3"/>
        <v>6051760.8350491803</v>
      </c>
      <c r="U259" s="12" t="s">
        <v>30</v>
      </c>
      <c r="V259" s="12" t="s">
        <v>9</v>
      </c>
      <c r="W259" s="19">
        <v>2024000.2792806623</v>
      </c>
    </row>
    <row r="260" spans="3:23" x14ac:dyDescent="0.3">
      <c r="C260" s="12">
        <v>2030</v>
      </c>
      <c r="D260" s="12" t="s">
        <v>35</v>
      </c>
      <c r="E260" s="12" t="s">
        <v>36</v>
      </c>
      <c r="F260" s="12" t="s">
        <v>33</v>
      </c>
      <c r="G260" s="12" t="s">
        <v>34</v>
      </c>
      <c r="H260" s="12" t="s">
        <v>109</v>
      </c>
      <c r="I260" s="12" t="s">
        <v>27</v>
      </c>
      <c r="J260" s="12" t="s">
        <v>96</v>
      </c>
      <c r="K260" s="12" t="s">
        <v>29</v>
      </c>
      <c r="L260" s="12" t="s">
        <v>2</v>
      </c>
      <c r="M260" s="12" t="s">
        <v>2</v>
      </c>
      <c r="N260" s="12" t="s">
        <v>104</v>
      </c>
      <c r="O260" s="12" t="s">
        <v>104</v>
      </c>
      <c r="P260" s="12" t="s">
        <v>100</v>
      </c>
      <c r="Q260" s="12" t="s">
        <v>100</v>
      </c>
      <c r="R260" s="12" t="s">
        <v>154</v>
      </c>
      <c r="S260" s="18">
        <f>_xlfn.XLOOKUP(R260,'Price Assumptions'!E:E,'Price Assumptions'!G:G)</f>
        <v>5</v>
      </c>
      <c r="T260" s="18">
        <f t="shared" si="3"/>
        <v>4392962.6112053758</v>
      </c>
      <c r="U260" s="12" t="s">
        <v>30</v>
      </c>
      <c r="V260" s="12" t="s">
        <v>9</v>
      </c>
      <c r="W260" s="19">
        <v>878592.52224107517</v>
      </c>
    </row>
    <row r="261" spans="3:23" x14ac:dyDescent="0.3">
      <c r="C261" s="12">
        <v>2030</v>
      </c>
      <c r="D261" s="12" t="s">
        <v>37</v>
      </c>
      <c r="E261" s="12" t="s">
        <v>38</v>
      </c>
      <c r="F261" s="12" t="s">
        <v>33</v>
      </c>
      <c r="G261" s="12" t="s">
        <v>34</v>
      </c>
      <c r="H261" s="12" t="s">
        <v>109</v>
      </c>
      <c r="I261" s="12" t="s">
        <v>27</v>
      </c>
      <c r="J261" s="12" t="s">
        <v>28</v>
      </c>
      <c r="K261" s="12" t="s">
        <v>29</v>
      </c>
      <c r="L261" s="12" t="s">
        <v>2</v>
      </c>
      <c r="M261" s="12" t="s">
        <v>2</v>
      </c>
      <c r="N261" s="12" t="s">
        <v>107</v>
      </c>
      <c r="O261" s="12" t="s">
        <v>99</v>
      </c>
      <c r="P261" s="12" t="s">
        <v>101</v>
      </c>
      <c r="Q261" s="12" t="s">
        <v>118</v>
      </c>
      <c r="R261" s="12" t="s">
        <v>155</v>
      </c>
      <c r="S261" s="18">
        <f>_xlfn.XLOOKUP(R261,'Price Assumptions'!E:E,'Price Assumptions'!G:G)</f>
        <v>2.99</v>
      </c>
      <c r="T261" s="18">
        <f t="shared" si="3"/>
        <v>6632503.7882624129</v>
      </c>
      <c r="U261" s="12" t="s">
        <v>30</v>
      </c>
      <c r="V261" s="12" t="s">
        <v>9</v>
      </c>
      <c r="W261" s="19">
        <v>2218228.6917265593</v>
      </c>
    </row>
    <row r="262" spans="3:23" x14ac:dyDescent="0.3">
      <c r="C262" s="12">
        <v>2030</v>
      </c>
      <c r="D262" s="12" t="s">
        <v>41</v>
      </c>
      <c r="E262" s="12" t="s">
        <v>42</v>
      </c>
      <c r="F262" s="12" t="s">
        <v>33</v>
      </c>
      <c r="G262" s="12" t="s">
        <v>34</v>
      </c>
      <c r="H262" s="12" t="s">
        <v>109</v>
      </c>
      <c r="I262" s="12" t="s">
        <v>27</v>
      </c>
      <c r="J262" s="12" t="s">
        <v>96</v>
      </c>
      <c r="K262" s="12" t="s">
        <v>29</v>
      </c>
      <c r="L262" s="12" t="s">
        <v>2</v>
      </c>
      <c r="M262" s="12" t="s">
        <v>2</v>
      </c>
      <c r="N262" s="12" t="s">
        <v>107</v>
      </c>
      <c r="O262" s="12" t="s">
        <v>99</v>
      </c>
      <c r="P262" s="12" t="s">
        <v>101</v>
      </c>
      <c r="Q262" s="12" t="s">
        <v>118</v>
      </c>
      <c r="R262" s="12" t="s">
        <v>155</v>
      </c>
      <c r="S262" s="18">
        <f>_xlfn.XLOOKUP(R262,'Price Assumptions'!E:E,'Price Assumptions'!G:G)</f>
        <v>2.99</v>
      </c>
      <c r="T262" s="18">
        <f t="shared" ref="T262:T325" si="4">S262*W262</f>
        <v>5275597.7717655832</v>
      </c>
      <c r="U262" s="12" t="s">
        <v>30</v>
      </c>
      <c r="V262" s="12" t="s">
        <v>9</v>
      </c>
      <c r="W262" s="19">
        <v>1764413.9704901616</v>
      </c>
    </row>
    <row r="263" spans="3:23" x14ac:dyDescent="0.3">
      <c r="C263" s="12">
        <v>2030</v>
      </c>
      <c r="D263" s="12" t="s">
        <v>47</v>
      </c>
      <c r="E263" s="12" t="s">
        <v>48</v>
      </c>
      <c r="F263" s="12" t="s">
        <v>33</v>
      </c>
      <c r="G263" s="12" t="s">
        <v>34</v>
      </c>
      <c r="H263" s="12" t="s">
        <v>109</v>
      </c>
      <c r="I263" s="12" t="s">
        <v>27</v>
      </c>
      <c r="J263" s="12" t="s">
        <v>110</v>
      </c>
      <c r="K263" s="12" t="s">
        <v>111</v>
      </c>
      <c r="L263" s="12" t="s">
        <v>2</v>
      </c>
      <c r="M263" s="12" t="s">
        <v>2</v>
      </c>
      <c r="N263" s="12" t="s">
        <v>107</v>
      </c>
      <c r="O263" s="12" t="s">
        <v>107</v>
      </c>
      <c r="P263" s="12" t="s">
        <v>108</v>
      </c>
      <c r="Q263" s="12" t="s">
        <v>120</v>
      </c>
      <c r="R263" s="12" t="s">
        <v>156</v>
      </c>
      <c r="S263" s="18">
        <f>_xlfn.XLOOKUP(R263,'Price Assumptions'!E:E,'Price Assumptions'!G:G)</f>
        <v>2.99</v>
      </c>
      <c r="T263" s="18">
        <f t="shared" si="4"/>
        <v>1172253.7341506195</v>
      </c>
      <c r="U263" s="12" t="s">
        <v>30</v>
      </c>
      <c r="V263" s="12" t="s">
        <v>9</v>
      </c>
      <c r="W263" s="19">
        <v>392058.10506709677</v>
      </c>
    </row>
    <row r="264" spans="3:23" x14ac:dyDescent="0.3">
      <c r="C264" s="12">
        <v>2030</v>
      </c>
      <c r="D264" s="12" t="s">
        <v>49</v>
      </c>
      <c r="E264" s="12" t="s">
        <v>50</v>
      </c>
      <c r="F264" s="12" t="s">
        <v>33</v>
      </c>
      <c r="G264" s="12" t="s">
        <v>34</v>
      </c>
      <c r="H264" s="12" t="s">
        <v>109</v>
      </c>
      <c r="I264" s="12" t="s">
        <v>27</v>
      </c>
      <c r="J264" s="12" t="s">
        <v>112</v>
      </c>
      <c r="K264" s="12" t="s">
        <v>113</v>
      </c>
      <c r="L264" s="12" t="s">
        <v>2</v>
      </c>
      <c r="M264" s="12" t="s">
        <v>2</v>
      </c>
      <c r="N264" s="12" t="s">
        <v>105</v>
      </c>
      <c r="O264" s="12" t="s">
        <v>105</v>
      </c>
      <c r="P264" s="12" t="s">
        <v>101</v>
      </c>
      <c r="Q264" s="12" t="s">
        <v>118</v>
      </c>
      <c r="R264" s="12" t="s">
        <v>155</v>
      </c>
      <c r="S264" s="18">
        <f>_xlfn.XLOOKUP(R264,'Price Assumptions'!E:E,'Price Assumptions'!G:G)</f>
        <v>2.99</v>
      </c>
      <c r="T264" s="18">
        <f t="shared" si="4"/>
        <v>7310636.5545323808</v>
      </c>
      <c r="U264" s="12" t="s">
        <v>30</v>
      </c>
      <c r="V264" s="12" t="s">
        <v>9</v>
      </c>
      <c r="W264" s="19">
        <v>2445028.9480041405</v>
      </c>
    </row>
    <row r="265" spans="3:23" x14ac:dyDescent="0.3">
      <c r="C265" s="12">
        <v>2030</v>
      </c>
      <c r="D265" s="12" t="s">
        <v>53</v>
      </c>
      <c r="E265" s="12" t="s">
        <v>54</v>
      </c>
      <c r="F265" s="12" t="s">
        <v>33</v>
      </c>
      <c r="G265" s="12" t="s">
        <v>34</v>
      </c>
      <c r="H265" s="12" t="s">
        <v>109</v>
      </c>
      <c r="I265" s="12" t="s">
        <v>27</v>
      </c>
      <c r="J265" s="12" t="s">
        <v>96</v>
      </c>
      <c r="K265" s="12" t="s">
        <v>29</v>
      </c>
      <c r="L265" s="12" t="s">
        <v>2</v>
      </c>
      <c r="M265" s="12" t="s">
        <v>2</v>
      </c>
      <c r="N265" s="12" t="s">
        <v>107</v>
      </c>
      <c r="O265" s="12" t="s">
        <v>107</v>
      </c>
      <c r="P265" s="12" t="s">
        <v>108</v>
      </c>
      <c r="Q265" s="12" t="s">
        <v>118</v>
      </c>
      <c r="R265" s="12" t="s">
        <v>155</v>
      </c>
      <c r="S265" s="18">
        <f>_xlfn.XLOOKUP(R265,'Price Assumptions'!E:E,'Price Assumptions'!G:G)</f>
        <v>2.99</v>
      </c>
      <c r="T265" s="18">
        <f t="shared" si="4"/>
        <v>14106365.337770013</v>
      </c>
      <c r="U265" s="12" t="s">
        <v>30</v>
      </c>
      <c r="V265" s="12" t="s">
        <v>9</v>
      </c>
      <c r="W265" s="19">
        <v>4717847.9390535159</v>
      </c>
    </row>
    <row r="266" spans="3:23" x14ac:dyDescent="0.3">
      <c r="C266" s="12">
        <v>2030</v>
      </c>
      <c r="D266" s="12" t="s">
        <v>57</v>
      </c>
      <c r="E266" s="12" t="s">
        <v>58</v>
      </c>
      <c r="F266" s="12" t="s">
        <v>33</v>
      </c>
      <c r="G266" s="12" t="s">
        <v>34</v>
      </c>
      <c r="H266" s="12" t="s">
        <v>109</v>
      </c>
      <c r="I266" s="12" t="s">
        <v>27</v>
      </c>
      <c r="J266" s="12" t="s">
        <v>112</v>
      </c>
      <c r="K266" s="12" t="s">
        <v>113</v>
      </c>
      <c r="L266" s="12" t="s">
        <v>2</v>
      </c>
      <c r="M266" s="12" t="s">
        <v>2</v>
      </c>
      <c r="N266" s="12" t="s">
        <v>99</v>
      </c>
      <c r="O266" s="12" t="s">
        <v>99</v>
      </c>
      <c r="P266" s="12" t="s">
        <v>101</v>
      </c>
      <c r="Q266" s="12" t="s">
        <v>118</v>
      </c>
      <c r="R266" s="12" t="s">
        <v>155</v>
      </c>
      <c r="S266" s="18">
        <f>_xlfn.XLOOKUP(R266,'Price Assumptions'!E:E,'Price Assumptions'!G:G)</f>
        <v>2.99</v>
      </c>
      <c r="T266" s="18">
        <f t="shared" si="4"/>
        <v>6967223.4235512642</v>
      </c>
      <c r="U266" s="12" t="s">
        <v>30</v>
      </c>
      <c r="V266" s="12" t="s">
        <v>9</v>
      </c>
      <c r="W266" s="19">
        <v>2330175.0580439009</v>
      </c>
    </row>
    <row r="267" spans="3:23" x14ac:dyDescent="0.3">
      <c r="C267" s="12">
        <v>2030</v>
      </c>
      <c r="D267" s="12" t="s">
        <v>59</v>
      </c>
      <c r="E267" s="12" t="s">
        <v>60</v>
      </c>
      <c r="F267" s="12" t="s">
        <v>33</v>
      </c>
      <c r="G267" s="12" t="s">
        <v>34</v>
      </c>
      <c r="H267" s="12" t="s">
        <v>109</v>
      </c>
      <c r="I267" s="12" t="s">
        <v>27</v>
      </c>
      <c r="J267" s="12" t="s">
        <v>110</v>
      </c>
      <c r="K267" s="12" t="s">
        <v>111</v>
      </c>
      <c r="L267" s="12" t="s">
        <v>2</v>
      </c>
      <c r="M267" s="12" t="s">
        <v>2</v>
      </c>
      <c r="N267" s="12" t="s">
        <v>107</v>
      </c>
      <c r="O267" s="12" t="s">
        <v>107</v>
      </c>
      <c r="P267" s="12" t="s">
        <v>108</v>
      </c>
      <c r="Q267" s="12" t="s">
        <v>100</v>
      </c>
      <c r="R267" s="12" t="s">
        <v>154</v>
      </c>
      <c r="S267" s="18">
        <f>_xlfn.XLOOKUP(R267,'Price Assumptions'!E:E,'Price Assumptions'!G:G)</f>
        <v>5</v>
      </c>
      <c r="T267" s="18">
        <f t="shared" si="4"/>
        <v>2484975.4258824191</v>
      </c>
      <c r="U267" s="12" t="s">
        <v>30</v>
      </c>
      <c r="V267" s="12" t="s">
        <v>9</v>
      </c>
      <c r="W267" s="19">
        <v>496995.08517648384</v>
      </c>
    </row>
    <row r="268" spans="3:23" x14ac:dyDescent="0.3">
      <c r="C268" s="12">
        <v>2030</v>
      </c>
      <c r="D268" s="12" t="s">
        <v>61</v>
      </c>
      <c r="E268" s="12" t="s">
        <v>62</v>
      </c>
      <c r="F268" s="12" t="s">
        <v>33</v>
      </c>
      <c r="G268" s="12" t="s">
        <v>34</v>
      </c>
      <c r="H268" s="12" t="s">
        <v>109</v>
      </c>
      <c r="I268" s="12" t="s">
        <v>27</v>
      </c>
      <c r="J268" s="12" t="s">
        <v>28</v>
      </c>
      <c r="K268" s="12" t="s">
        <v>29</v>
      </c>
      <c r="L268" s="12" t="s">
        <v>2</v>
      </c>
      <c r="M268" s="12" t="s">
        <v>2</v>
      </c>
      <c r="N268" s="12" t="s">
        <v>107</v>
      </c>
      <c r="O268" s="12" t="s">
        <v>107</v>
      </c>
      <c r="P268" s="12" t="s">
        <v>108</v>
      </c>
      <c r="Q268" s="12" t="s">
        <v>100</v>
      </c>
      <c r="R268" s="12" t="s">
        <v>154</v>
      </c>
      <c r="S268" s="18">
        <f>_xlfn.XLOOKUP(R268,'Price Assumptions'!E:E,'Price Assumptions'!G:G)</f>
        <v>5</v>
      </c>
      <c r="T268" s="18">
        <f t="shared" si="4"/>
        <v>142696.51432305915</v>
      </c>
      <c r="U268" s="12" t="s">
        <v>30</v>
      </c>
      <c r="V268" s="12" t="s">
        <v>9</v>
      </c>
      <c r="W268" s="19">
        <v>28539.302864611829</v>
      </c>
    </row>
    <row r="269" spans="3:23" x14ac:dyDescent="0.3">
      <c r="C269" s="12">
        <v>2030</v>
      </c>
      <c r="D269" s="12" t="s">
        <v>63</v>
      </c>
      <c r="E269" s="12" t="s">
        <v>64</v>
      </c>
      <c r="F269" s="12" t="s">
        <v>33</v>
      </c>
      <c r="G269" s="12" t="s">
        <v>34</v>
      </c>
      <c r="H269" s="12" t="s">
        <v>109</v>
      </c>
      <c r="I269" s="12" t="s">
        <v>27</v>
      </c>
      <c r="J269" s="12" t="s">
        <v>96</v>
      </c>
      <c r="K269" s="12" t="s">
        <v>29</v>
      </c>
      <c r="L269" s="12" t="s">
        <v>2</v>
      </c>
      <c r="M269" s="12" t="s">
        <v>2</v>
      </c>
      <c r="N269" s="12" t="s">
        <v>107</v>
      </c>
      <c r="O269" s="12" t="s">
        <v>99</v>
      </c>
      <c r="P269" s="12" t="s">
        <v>101</v>
      </c>
      <c r="Q269" s="12" t="s">
        <v>118</v>
      </c>
      <c r="R269" s="12" t="s">
        <v>155</v>
      </c>
      <c r="S269" s="18">
        <f>_xlfn.XLOOKUP(R269,'Price Assumptions'!E:E,'Price Assumptions'!G:G)</f>
        <v>2.99</v>
      </c>
      <c r="T269" s="18">
        <f t="shared" si="4"/>
        <v>3187547.3229789748</v>
      </c>
      <c r="U269" s="12" t="s">
        <v>30</v>
      </c>
      <c r="V269" s="12" t="s">
        <v>9</v>
      </c>
      <c r="W269" s="19">
        <v>1066069.3387889548</v>
      </c>
    </row>
    <row r="270" spans="3:23" x14ac:dyDescent="0.3">
      <c r="C270" s="12">
        <v>2030</v>
      </c>
      <c r="D270" s="12" t="s">
        <v>73</v>
      </c>
      <c r="E270" s="12" t="s">
        <v>74</v>
      </c>
      <c r="F270" s="12" t="s">
        <v>33</v>
      </c>
      <c r="G270" s="12" t="s">
        <v>34</v>
      </c>
      <c r="H270" s="12" t="s">
        <v>109</v>
      </c>
      <c r="I270" s="12" t="s">
        <v>27</v>
      </c>
      <c r="J270" s="12" t="s">
        <v>96</v>
      </c>
      <c r="K270" s="12" t="s">
        <v>29</v>
      </c>
      <c r="L270" s="12" t="s">
        <v>2</v>
      </c>
      <c r="M270" s="12" t="s">
        <v>2</v>
      </c>
      <c r="N270" s="12" t="s">
        <v>107</v>
      </c>
      <c r="O270" s="12" t="s">
        <v>107</v>
      </c>
      <c r="P270" s="12" t="s">
        <v>108</v>
      </c>
      <c r="Q270" s="12" t="s">
        <v>120</v>
      </c>
      <c r="R270" s="12" t="s">
        <v>156</v>
      </c>
      <c r="S270" s="18">
        <f>_xlfn.XLOOKUP(R270,'Price Assumptions'!E:E,'Price Assumptions'!G:G)</f>
        <v>2.99</v>
      </c>
      <c r="T270" s="18">
        <f t="shared" si="4"/>
        <v>580817.54395321559</v>
      </c>
      <c r="U270" s="12" t="s">
        <v>30</v>
      </c>
      <c r="V270" s="12" t="s">
        <v>9</v>
      </c>
      <c r="W270" s="19">
        <v>194253.35918167746</v>
      </c>
    </row>
    <row r="271" spans="3:23" x14ac:dyDescent="0.3">
      <c r="C271" s="12">
        <v>2030</v>
      </c>
      <c r="D271" s="12" t="s">
        <v>79</v>
      </c>
      <c r="E271" s="12" t="s">
        <v>80</v>
      </c>
      <c r="F271" s="12" t="s">
        <v>33</v>
      </c>
      <c r="G271" s="12" t="s">
        <v>34</v>
      </c>
      <c r="H271" s="12" t="s">
        <v>109</v>
      </c>
      <c r="I271" s="12" t="s">
        <v>27</v>
      </c>
      <c r="J271" s="12" t="s">
        <v>96</v>
      </c>
      <c r="K271" s="12" t="s">
        <v>29</v>
      </c>
      <c r="L271" s="12" t="s">
        <v>2</v>
      </c>
      <c r="M271" s="12" t="s">
        <v>2</v>
      </c>
      <c r="N271" s="12" t="s">
        <v>103</v>
      </c>
      <c r="O271" s="12" t="s">
        <v>103</v>
      </c>
      <c r="P271" s="12" t="s">
        <v>101</v>
      </c>
      <c r="Q271" s="12" t="s">
        <v>118</v>
      </c>
      <c r="R271" s="12" t="s">
        <v>155</v>
      </c>
      <c r="S271" s="18">
        <f>_xlfn.XLOOKUP(R271,'Price Assumptions'!E:E,'Price Assumptions'!G:G)</f>
        <v>2.99</v>
      </c>
      <c r="T271" s="18">
        <f t="shared" si="4"/>
        <v>37182688.625332721</v>
      </c>
      <c r="U271" s="12" t="s">
        <v>30</v>
      </c>
      <c r="V271" s="12" t="s">
        <v>9</v>
      </c>
      <c r="W271" s="19">
        <v>12435681.814492548</v>
      </c>
    </row>
    <row r="272" spans="3:23" x14ac:dyDescent="0.3">
      <c r="C272" s="12">
        <v>2030</v>
      </c>
      <c r="D272" s="12" t="s">
        <v>88</v>
      </c>
      <c r="E272" s="12" t="s">
        <v>89</v>
      </c>
      <c r="F272" s="12" t="s">
        <v>33</v>
      </c>
      <c r="G272" s="12" t="s">
        <v>34</v>
      </c>
      <c r="H272" s="12" t="s">
        <v>109</v>
      </c>
      <c r="I272" s="12" t="s">
        <v>27</v>
      </c>
      <c r="J272" s="12" t="s">
        <v>96</v>
      </c>
      <c r="K272" s="12" t="s">
        <v>29</v>
      </c>
      <c r="L272" s="12" t="s">
        <v>2</v>
      </c>
      <c r="M272" s="12" t="s">
        <v>2</v>
      </c>
      <c r="N272" s="12" t="s">
        <v>107</v>
      </c>
      <c r="O272" s="12" t="s">
        <v>107</v>
      </c>
      <c r="P272" s="12" t="s">
        <v>108</v>
      </c>
      <c r="Q272" s="12" t="s">
        <v>120</v>
      </c>
      <c r="R272" s="12" t="s">
        <v>156</v>
      </c>
      <c r="S272" s="18">
        <f>_xlfn.XLOOKUP(R272,'Price Assumptions'!E:E,'Price Assumptions'!G:G)</f>
        <v>2.99</v>
      </c>
      <c r="T272" s="18">
        <f t="shared" si="4"/>
        <v>4482326.8247642824</v>
      </c>
      <c r="U272" s="12" t="s">
        <v>30</v>
      </c>
      <c r="V272" s="12" t="s">
        <v>9</v>
      </c>
      <c r="W272" s="19">
        <v>1499105.961459626</v>
      </c>
    </row>
    <row r="273" spans="3:23" x14ac:dyDescent="0.3">
      <c r="C273" s="12">
        <v>2030</v>
      </c>
      <c r="D273" s="12" t="s">
        <v>90</v>
      </c>
      <c r="E273" s="12" t="s">
        <v>91</v>
      </c>
      <c r="F273" s="12" t="s">
        <v>33</v>
      </c>
      <c r="G273" s="12" t="s">
        <v>34</v>
      </c>
      <c r="H273" s="12" t="s">
        <v>109</v>
      </c>
      <c r="I273" s="12" t="s">
        <v>27</v>
      </c>
      <c r="J273" s="12" t="s">
        <v>28</v>
      </c>
      <c r="K273" s="12" t="s">
        <v>29</v>
      </c>
      <c r="L273" s="12" t="s">
        <v>2</v>
      </c>
      <c r="M273" s="12" t="s">
        <v>2</v>
      </c>
      <c r="N273" s="12" t="s">
        <v>107</v>
      </c>
      <c r="O273" s="12" t="s">
        <v>107</v>
      </c>
      <c r="P273" s="12" t="s">
        <v>108</v>
      </c>
      <c r="Q273" s="12" t="s">
        <v>118</v>
      </c>
      <c r="R273" s="12" t="s">
        <v>155</v>
      </c>
      <c r="S273" s="18">
        <f>_xlfn.XLOOKUP(R273,'Price Assumptions'!E:E,'Price Assumptions'!G:G)</f>
        <v>2.99</v>
      </c>
      <c r="T273" s="18">
        <f t="shared" si="4"/>
        <v>2185642.4024054091</v>
      </c>
      <c r="U273" s="12" t="s">
        <v>30</v>
      </c>
      <c r="V273" s="12" t="s">
        <v>9</v>
      </c>
      <c r="W273" s="19">
        <v>730984.08107204316</v>
      </c>
    </row>
    <row r="274" spans="3:23" x14ac:dyDescent="0.3">
      <c r="C274" s="12">
        <v>2030</v>
      </c>
      <c r="D274" s="12" t="s">
        <v>92</v>
      </c>
      <c r="E274" s="12" t="s">
        <v>93</v>
      </c>
      <c r="F274" s="12" t="s">
        <v>33</v>
      </c>
      <c r="G274" s="12" t="s">
        <v>34</v>
      </c>
      <c r="H274" s="12" t="s">
        <v>109</v>
      </c>
      <c r="I274" s="12" t="s">
        <v>27</v>
      </c>
      <c r="J274" s="12" t="s">
        <v>96</v>
      </c>
      <c r="K274" s="12" t="s">
        <v>29</v>
      </c>
      <c r="L274" s="12" t="s">
        <v>2</v>
      </c>
      <c r="M274" s="12" t="s">
        <v>2</v>
      </c>
      <c r="N274" s="12" t="s">
        <v>107</v>
      </c>
      <c r="O274" s="12" t="s">
        <v>107</v>
      </c>
      <c r="P274" s="12" t="s">
        <v>108</v>
      </c>
      <c r="Q274" s="12" t="s">
        <v>118</v>
      </c>
      <c r="R274" s="12" t="s">
        <v>155</v>
      </c>
      <c r="S274" s="18">
        <f>_xlfn.XLOOKUP(R274,'Price Assumptions'!E:E,'Price Assumptions'!G:G)</f>
        <v>2.99</v>
      </c>
      <c r="T274" s="18">
        <f t="shared" si="4"/>
        <v>13366246.298680849</v>
      </c>
      <c r="U274" s="12" t="s">
        <v>30</v>
      </c>
      <c r="V274" s="12" t="s">
        <v>9</v>
      </c>
      <c r="W274" s="19">
        <v>4470316.4878531266</v>
      </c>
    </row>
    <row r="275" spans="3:23" x14ac:dyDescent="0.3">
      <c r="C275" s="12">
        <v>2030</v>
      </c>
      <c r="D275" s="12" t="s">
        <v>94</v>
      </c>
      <c r="E275" s="12" t="s">
        <v>95</v>
      </c>
      <c r="F275" s="12" t="s">
        <v>33</v>
      </c>
      <c r="G275" s="12" t="s">
        <v>34</v>
      </c>
      <c r="H275" s="12" t="s">
        <v>109</v>
      </c>
      <c r="I275" s="12" t="s">
        <v>27</v>
      </c>
      <c r="J275" s="12" t="s">
        <v>96</v>
      </c>
      <c r="K275" s="12" t="s">
        <v>29</v>
      </c>
      <c r="L275" s="12" t="s">
        <v>2</v>
      </c>
      <c r="M275" s="12" t="s">
        <v>2</v>
      </c>
      <c r="N275" s="12" t="s">
        <v>107</v>
      </c>
      <c r="O275" s="12" t="s">
        <v>107</v>
      </c>
      <c r="P275" s="12" t="s">
        <v>108</v>
      </c>
      <c r="Q275" s="12" t="s">
        <v>118</v>
      </c>
      <c r="R275" s="12" t="s">
        <v>155</v>
      </c>
      <c r="S275" s="18">
        <f>_xlfn.XLOOKUP(R275,'Price Assumptions'!E:E,'Price Assumptions'!G:G)</f>
        <v>2.99</v>
      </c>
      <c r="T275" s="18">
        <f t="shared" si="4"/>
        <v>3055574.221684501</v>
      </c>
      <c r="U275" s="12" t="s">
        <v>30</v>
      </c>
      <c r="V275" s="12" t="s">
        <v>9</v>
      </c>
      <c r="W275" s="19">
        <v>1021931.1778209032</v>
      </c>
    </row>
    <row r="276" spans="3:23" x14ac:dyDescent="0.3">
      <c r="C276" s="12">
        <v>2031</v>
      </c>
      <c r="D276" s="12" t="s">
        <v>31</v>
      </c>
      <c r="E276" s="12" t="s">
        <v>32</v>
      </c>
      <c r="F276" s="12" t="s">
        <v>33</v>
      </c>
      <c r="G276" s="12" t="s">
        <v>34</v>
      </c>
      <c r="H276" s="12" t="s">
        <v>109</v>
      </c>
      <c r="I276" s="12" t="s">
        <v>27</v>
      </c>
      <c r="J276" s="12" t="s">
        <v>96</v>
      </c>
      <c r="K276" s="12" t="s">
        <v>29</v>
      </c>
      <c r="L276" s="12" t="s">
        <v>2</v>
      </c>
      <c r="M276" s="12" t="s">
        <v>2</v>
      </c>
      <c r="N276" s="12" t="s">
        <v>107</v>
      </c>
      <c r="O276" s="12" t="s">
        <v>107</v>
      </c>
      <c r="P276" s="12" t="s">
        <v>108</v>
      </c>
      <c r="Q276" s="12" t="s">
        <v>120</v>
      </c>
      <c r="R276" s="12" t="s">
        <v>159</v>
      </c>
      <c r="S276" s="18">
        <f>_xlfn.XLOOKUP(R276,'Price Assumptions'!E:E,'Price Assumptions'!G:G)</f>
        <v>2.99</v>
      </c>
      <c r="T276" s="18">
        <f t="shared" si="4"/>
        <v>6211906.308913365</v>
      </c>
      <c r="U276" s="12" t="s">
        <v>30</v>
      </c>
      <c r="V276" s="12" t="s">
        <v>9</v>
      </c>
      <c r="W276" s="19">
        <v>2077560.6384325633</v>
      </c>
    </row>
    <row r="277" spans="3:23" x14ac:dyDescent="0.3">
      <c r="C277" s="12">
        <v>2031</v>
      </c>
      <c r="D277" s="12" t="s">
        <v>35</v>
      </c>
      <c r="E277" s="12" t="s">
        <v>36</v>
      </c>
      <c r="F277" s="12" t="s">
        <v>33</v>
      </c>
      <c r="G277" s="12" t="s">
        <v>34</v>
      </c>
      <c r="H277" s="12" t="s">
        <v>109</v>
      </c>
      <c r="I277" s="12" t="s">
        <v>27</v>
      </c>
      <c r="J277" s="12" t="s">
        <v>96</v>
      </c>
      <c r="K277" s="12" t="s">
        <v>29</v>
      </c>
      <c r="L277" s="12" t="s">
        <v>2</v>
      </c>
      <c r="M277" s="12" t="s">
        <v>2</v>
      </c>
      <c r="N277" s="12" t="s">
        <v>104</v>
      </c>
      <c r="O277" s="12" t="s">
        <v>104</v>
      </c>
      <c r="P277" s="12" t="s">
        <v>100</v>
      </c>
      <c r="Q277" s="12" t="s">
        <v>100</v>
      </c>
      <c r="R277" s="12" t="s">
        <v>157</v>
      </c>
      <c r="S277" s="18">
        <f>_xlfn.XLOOKUP(R277,'Price Assumptions'!E:E,'Price Assumptions'!G:G)</f>
        <v>5</v>
      </c>
      <c r="T277" s="18">
        <f t="shared" si="4"/>
        <v>4499857.8185693547</v>
      </c>
      <c r="U277" s="12" t="s">
        <v>30</v>
      </c>
      <c r="V277" s="12" t="s">
        <v>9</v>
      </c>
      <c r="W277" s="19">
        <v>899971.56371387094</v>
      </c>
    </row>
    <row r="278" spans="3:23" x14ac:dyDescent="0.3">
      <c r="C278" s="12">
        <v>2031</v>
      </c>
      <c r="D278" s="12" t="s">
        <v>37</v>
      </c>
      <c r="E278" s="12" t="s">
        <v>38</v>
      </c>
      <c r="F278" s="12" t="s">
        <v>33</v>
      </c>
      <c r="G278" s="12" t="s">
        <v>34</v>
      </c>
      <c r="H278" s="12" t="s">
        <v>109</v>
      </c>
      <c r="I278" s="12" t="s">
        <v>27</v>
      </c>
      <c r="J278" s="12" t="s">
        <v>28</v>
      </c>
      <c r="K278" s="12" t="s">
        <v>29</v>
      </c>
      <c r="L278" s="12" t="s">
        <v>2</v>
      </c>
      <c r="M278" s="12" t="s">
        <v>2</v>
      </c>
      <c r="N278" s="12" t="s">
        <v>107</v>
      </c>
      <c r="O278" s="12" t="s">
        <v>99</v>
      </c>
      <c r="P278" s="12" t="s">
        <v>101</v>
      </c>
      <c r="Q278" s="12" t="s">
        <v>118</v>
      </c>
      <c r="R278" s="12" t="s">
        <v>158</v>
      </c>
      <c r="S278" s="18">
        <f>_xlfn.XLOOKUP(R278,'Price Assumptions'!E:E,'Price Assumptions'!G:G)</f>
        <v>2.99</v>
      </c>
      <c r="T278" s="18">
        <f t="shared" si="4"/>
        <v>6702412.0176871363</v>
      </c>
      <c r="U278" s="12" t="s">
        <v>30</v>
      </c>
      <c r="V278" s="12" t="s">
        <v>9</v>
      </c>
      <c r="W278" s="19">
        <v>2241609.3704639249</v>
      </c>
    </row>
    <row r="279" spans="3:23" x14ac:dyDescent="0.3">
      <c r="C279" s="12">
        <v>2031</v>
      </c>
      <c r="D279" s="12" t="s">
        <v>41</v>
      </c>
      <c r="E279" s="12" t="s">
        <v>42</v>
      </c>
      <c r="F279" s="12" t="s">
        <v>33</v>
      </c>
      <c r="G279" s="12" t="s">
        <v>34</v>
      </c>
      <c r="H279" s="12" t="s">
        <v>109</v>
      </c>
      <c r="I279" s="12" t="s">
        <v>27</v>
      </c>
      <c r="J279" s="12" t="s">
        <v>96</v>
      </c>
      <c r="K279" s="12" t="s">
        <v>29</v>
      </c>
      <c r="L279" s="12" t="s">
        <v>2</v>
      </c>
      <c r="M279" s="12" t="s">
        <v>2</v>
      </c>
      <c r="N279" s="12" t="s">
        <v>107</v>
      </c>
      <c r="O279" s="12" t="s">
        <v>99</v>
      </c>
      <c r="P279" s="12" t="s">
        <v>101</v>
      </c>
      <c r="Q279" s="12" t="s">
        <v>118</v>
      </c>
      <c r="R279" s="12" t="s">
        <v>158</v>
      </c>
      <c r="S279" s="18">
        <f>_xlfn.XLOOKUP(R279,'Price Assumptions'!E:E,'Price Assumptions'!G:G)</f>
        <v>2.99</v>
      </c>
      <c r="T279" s="18">
        <f t="shared" si="4"/>
        <v>5403750.6286150645</v>
      </c>
      <c r="U279" s="12" t="s">
        <v>30</v>
      </c>
      <c r="V279" s="12" t="s">
        <v>9</v>
      </c>
      <c r="W279" s="19">
        <v>1807274.4577307906</v>
      </c>
    </row>
    <row r="280" spans="3:23" x14ac:dyDescent="0.3">
      <c r="C280" s="12">
        <v>2031</v>
      </c>
      <c r="D280" s="12" t="s">
        <v>47</v>
      </c>
      <c r="E280" s="12" t="s">
        <v>48</v>
      </c>
      <c r="F280" s="12" t="s">
        <v>33</v>
      </c>
      <c r="G280" s="12" t="s">
        <v>34</v>
      </c>
      <c r="H280" s="12" t="s">
        <v>109</v>
      </c>
      <c r="I280" s="12" t="s">
        <v>27</v>
      </c>
      <c r="J280" s="12" t="s">
        <v>110</v>
      </c>
      <c r="K280" s="12" t="s">
        <v>111</v>
      </c>
      <c r="L280" s="12" t="s">
        <v>2</v>
      </c>
      <c r="M280" s="12" t="s">
        <v>2</v>
      </c>
      <c r="N280" s="12" t="s">
        <v>107</v>
      </c>
      <c r="O280" s="12" t="s">
        <v>107</v>
      </c>
      <c r="P280" s="12" t="s">
        <v>108</v>
      </c>
      <c r="Q280" s="12" t="s">
        <v>120</v>
      </c>
      <c r="R280" s="12" t="s">
        <v>159</v>
      </c>
      <c r="S280" s="18">
        <f>_xlfn.XLOOKUP(R280,'Price Assumptions'!E:E,'Price Assumptions'!G:G)</f>
        <v>2.99</v>
      </c>
      <c r="T280" s="18">
        <f t="shared" si="4"/>
        <v>1210387.2215110143</v>
      </c>
      <c r="U280" s="12" t="s">
        <v>30</v>
      </c>
      <c r="V280" s="12" t="s">
        <v>9</v>
      </c>
      <c r="W280" s="19">
        <v>404811.77976956993</v>
      </c>
    </row>
    <row r="281" spans="3:23" x14ac:dyDescent="0.3">
      <c r="C281" s="12">
        <v>2031</v>
      </c>
      <c r="D281" s="12" t="s">
        <v>49</v>
      </c>
      <c r="E281" s="12" t="s">
        <v>50</v>
      </c>
      <c r="F281" s="12" t="s">
        <v>33</v>
      </c>
      <c r="G281" s="12" t="s">
        <v>34</v>
      </c>
      <c r="H281" s="12" t="s">
        <v>109</v>
      </c>
      <c r="I281" s="12" t="s">
        <v>27</v>
      </c>
      <c r="J281" s="12" t="s">
        <v>112</v>
      </c>
      <c r="K281" s="12" t="s">
        <v>113</v>
      </c>
      <c r="L281" s="12" t="s">
        <v>2</v>
      </c>
      <c r="M281" s="12" t="s">
        <v>2</v>
      </c>
      <c r="N281" s="12" t="s">
        <v>105</v>
      </c>
      <c r="O281" s="12" t="s">
        <v>105</v>
      </c>
      <c r="P281" s="12" t="s">
        <v>101</v>
      </c>
      <c r="Q281" s="12" t="s">
        <v>118</v>
      </c>
      <c r="R281" s="12" t="s">
        <v>158</v>
      </c>
      <c r="S281" s="18">
        <f>_xlfn.XLOOKUP(R281,'Price Assumptions'!E:E,'Price Assumptions'!G:G)</f>
        <v>2.99</v>
      </c>
      <c r="T281" s="18">
        <f t="shared" si="4"/>
        <v>7536897.5845047897</v>
      </c>
      <c r="U281" s="12" t="s">
        <v>30</v>
      </c>
      <c r="V281" s="12" t="s">
        <v>9</v>
      </c>
      <c r="W281" s="19">
        <v>2520701.5332791936</v>
      </c>
    </row>
    <row r="282" spans="3:23" x14ac:dyDescent="0.3">
      <c r="C282" s="12">
        <v>2031</v>
      </c>
      <c r="D282" s="12" t="s">
        <v>53</v>
      </c>
      <c r="E282" s="12" t="s">
        <v>54</v>
      </c>
      <c r="F282" s="12" t="s">
        <v>33</v>
      </c>
      <c r="G282" s="12" t="s">
        <v>34</v>
      </c>
      <c r="H282" s="12" t="s">
        <v>109</v>
      </c>
      <c r="I282" s="12" t="s">
        <v>27</v>
      </c>
      <c r="J282" s="12" t="s">
        <v>96</v>
      </c>
      <c r="K282" s="12" t="s">
        <v>29</v>
      </c>
      <c r="L282" s="12" t="s">
        <v>2</v>
      </c>
      <c r="M282" s="12" t="s">
        <v>2</v>
      </c>
      <c r="N282" s="12" t="s">
        <v>107</v>
      </c>
      <c r="O282" s="12" t="s">
        <v>107</v>
      </c>
      <c r="P282" s="12" t="s">
        <v>108</v>
      </c>
      <c r="Q282" s="12" t="s">
        <v>118</v>
      </c>
      <c r="R282" s="12" t="s">
        <v>158</v>
      </c>
      <c r="S282" s="18">
        <f>_xlfn.XLOOKUP(R282,'Price Assumptions'!E:E,'Price Assumptions'!G:G)</f>
        <v>2.99</v>
      </c>
      <c r="T282" s="18">
        <f t="shared" si="4"/>
        <v>14376821.957844388</v>
      </c>
      <c r="U282" s="12" t="s">
        <v>30</v>
      </c>
      <c r="V282" s="12" t="s">
        <v>9</v>
      </c>
      <c r="W282" s="19">
        <v>4808301.6581419352</v>
      </c>
    </row>
    <row r="283" spans="3:23" x14ac:dyDescent="0.3">
      <c r="C283" s="12">
        <v>2031</v>
      </c>
      <c r="D283" s="12" t="s">
        <v>57</v>
      </c>
      <c r="E283" s="12" t="s">
        <v>58</v>
      </c>
      <c r="F283" s="12" t="s">
        <v>33</v>
      </c>
      <c r="G283" s="12" t="s">
        <v>34</v>
      </c>
      <c r="H283" s="12" t="s">
        <v>109</v>
      </c>
      <c r="I283" s="12" t="s">
        <v>27</v>
      </c>
      <c r="J283" s="12" t="s">
        <v>112</v>
      </c>
      <c r="K283" s="12" t="s">
        <v>113</v>
      </c>
      <c r="L283" s="12" t="s">
        <v>2</v>
      </c>
      <c r="M283" s="12" t="s">
        <v>2</v>
      </c>
      <c r="N283" s="12" t="s">
        <v>99</v>
      </c>
      <c r="O283" s="12" t="s">
        <v>99</v>
      </c>
      <c r="P283" s="12" t="s">
        <v>101</v>
      </c>
      <c r="Q283" s="12" t="s">
        <v>118</v>
      </c>
      <c r="R283" s="12" t="s">
        <v>158</v>
      </c>
      <c r="S283" s="18">
        <f>_xlfn.XLOOKUP(R283,'Price Assumptions'!E:E,'Price Assumptions'!G:G)</f>
        <v>2.99</v>
      </c>
      <c r="T283" s="18">
        <f t="shared" si="4"/>
        <v>7020998.1008730419</v>
      </c>
      <c r="U283" s="12" t="s">
        <v>30</v>
      </c>
      <c r="V283" s="12" t="s">
        <v>9</v>
      </c>
      <c r="W283" s="19">
        <v>2348159.899957539</v>
      </c>
    </row>
    <row r="284" spans="3:23" x14ac:dyDescent="0.3">
      <c r="C284" s="12">
        <v>2031</v>
      </c>
      <c r="D284" s="12" t="s">
        <v>59</v>
      </c>
      <c r="E284" s="12" t="s">
        <v>60</v>
      </c>
      <c r="F284" s="12" t="s">
        <v>33</v>
      </c>
      <c r="G284" s="12" t="s">
        <v>34</v>
      </c>
      <c r="H284" s="12" t="s">
        <v>109</v>
      </c>
      <c r="I284" s="12" t="s">
        <v>27</v>
      </c>
      <c r="J284" s="12" t="s">
        <v>110</v>
      </c>
      <c r="K284" s="12" t="s">
        <v>111</v>
      </c>
      <c r="L284" s="12" t="s">
        <v>2</v>
      </c>
      <c r="M284" s="12" t="s">
        <v>2</v>
      </c>
      <c r="N284" s="12" t="s">
        <v>107</v>
      </c>
      <c r="O284" s="12" t="s">
        <v>107</v>
      </c>
      <c r="P284" s="12" t="s">
        <v>108</v>
      </c>
      <c r="Q284" s="12" t="s">
        <v>100</v>
      </c>
      <c r="R284" s="12" t="s">
        <v>157</v>
      </c>
      <c r="S284" s="18">
        <f>_xlfn.XLOOKUP(R284,'Price Assumptions'!E:E,'Price Assumptions'!G:G)</f>
        <v>5</v>
      </c>
      <c r="T284" s="18">
        <f t="shared" si="4"/>
        <v>2560603.7022683872</v>
      </c>
      <c r="U284" s="12" t="s">
        <v>30</v>
      </c>
      <c r="V284" s="12" t="s">
        <v>9</v>
      </c>
      <c r="W284" s="19">
        <v>512120.74045367743</v>
      </c>
    </row>
    <row r="285" spans="3:23" x14ac:dyDescent="0.3">
      <c r="C285" s="12">
        <v>2031</v>
      </c>
      <c r="D285" s="12" t="s">
        <v>61</v>
      </c>
      <c r="E285" s="12" t="s">
        <v>62</v>
      </c>
      <c r="F285" s="12" t="s">
        <v>33</v>
      </c>
      <c r="G285" s="12" t="s">
        <v>34</v>
      </c>
      <c r="H285" s="12" t="s">
        <v>109</v>
      </c>
      <c r="I285" s="12" t="s">
        <v>27</v>
      </c>
      <c r="J285" s="12" t="s">
        <v>28</v>
      </c>
      <c r="K285" s="12" t="s">
        <v>29</v>
      </c>
      <c r="L285" s="12" t="s">
        <v>2</v>
      </c>
      <c r="M285" s="12" t="s">
        <v>2</v>
      </c>
      <c r="N285" s="12" t="s">
        <v>107</v>
      </c>
      <c r="O285" s="12" t="s">
        <v>107</v>
      </c>
      <c r="P285" s="12" t="s">
        <v>108</v>
      </c>
      <c r="Q285" s="12" t="s">
        <v>100</v>
      </c>
      <c r="R285" s="12" t="s">
        <v>157</v>
      </c>
      <c r="S285" s="18">
        <f>_xlfn.XLOOKUP(R285,'Price Assumptions'!E:E,'Price Assumptions'!G:G)</f>
        <v>5</v>
      </c>
      <c r="T285" s="18">
        <f t="shared" si="4"/>
        <v>145320.14158655377</v>
      </c>
      <c r="U285" s="12" t="s">
        <v>30</v>
      </c>
      <c r="V285" s="12" t="s">
        <v>9</v>
      </c>
      <c r="W285" s="19">
        <v>29064.028317310756</v>
      </c>
    </row>
    <row r="286" spans="3:23" x14ac:dyDescent="0.3">
      <c r="C286" s="12">
        <v>2031</v>
      </c>
      <c r="D286" s="12" t="s">
        <v>63</v>
      </c>
      <c r="E286" s="12" t="s">
        <v>64</v>
      </c>
      <c r="F286" s="12" t="s">
        <v>33</v>
      </c>
      <c r="G286" s="12" t="s">
        <v>34</v>
      </c>
      <c r="H286" s="12" t="s">
        <v>109</v>
      </c>
      <c r="I286" s="12" t="s">
        <v>27</v>
      </c>
      <c r="J286" s="12" t="s">
        <v>96</v>
      </c>
      <c r="K286" s="12" t="s">
        <v>29</v>
      </c>
      <c r="L286" s="12" t="s">
        <v>2</v>
      </c>
      <c r="M286" s="12" t="s">
        <v>2</v>
      </c>
      <c r="N286" s="12" t="s">
        <v>107</v>
      </c>
      <c r="O286" s="12" t="s">
        <v>99</v>
      </c>
      <c r="P286" s="12" t="s">
        <v>101</v>
      </c>
      <c r="Q286" s="12" t="s">
        <v>118</v>
      </c>
      <c r="R286" s="12" t="s">
        <v>158</v>
      </c>
      <c r="S286" s="18">
        <f>_xlfn.XLOOKUP(R286,'Price Assumptions'!E:E,'Price Assumptions'!G:G)</f>
        <v>2.99</v>
      </c>
      <c r="T286" s="18">
        <f t="shared" si="4"/>
        <v>3217489.3129895767</v>
      </c>
      <c r="U286" s="12" t="s">
        <v>30</v>
      </c>
      <c r="V286" s="12" t="s">
        <v>9</v>
      </c>
      <c r="W286" s="19">
        <v>1076083.3822707613</v>
      </c>
    </row>
    <row r="287" spans="3:23" x14ac:dyDescent="0.3">
      <c r="C287" s="12">
        <v>2031</v>
      </c>
      <c r="D287" s="12" t="s">
        <v>73</v>
      </c>
      <c r="E287" s="12" t="s">
        <v>74</v>
      </c>
      <c r="F287" s="12" t="s">
        <v>33</v>
      </c>
      <c r="G287" s="12" t="s">
        <v>34</v>
      </c>
      <c r="H287" s="12" t="s">
        <v>109</v>
      </c>
      <c r="I287" s="12" t="s">
        <v>27</v>
      </c>
      <c r="J287" s="12" t="s">
        <v>96</v>
      </c>
      <c r="K287" s="12" t="s">
        <v>29</v>
      </c>
      <c r="L287" s="12" t="s">
        <v>2</v>
      </c>
      <c r="M287" s="12" t="s">
        <v>2</v>
      </c>
      <c r="N287" s="12" t="s">
        <v>107</v>
      </c>
      <c r="O287" s="12" t="s">
        <v>107</v>
      </c>
      <c r="P287" s="12" t="s">
        <v>108</v>
      </c>
      <c r="Q287" s="12" t="s">
        <v>120</v>
      </c>
      <c r="R287" s="12" t="s">
        <v>159</v>
      </c>
      <c r="S287" s="18">
        <f>_xlfn.XLOOKUP(R287,'Price Assumptions'!E:E,'Price Assumptions'!G:G)</f>
        <v>2.99</v>
      </c>
      <c r="T287" s="18">
        <f t="shared" si="4"/>
        <v>589894.61826450587</v>
      </c>
      <c r="U287" s="12" t="s">
        <v>30</v>
      </c>
      <c r="V287" s="12" t="s">
        <v>9</v>
      </c>
      <c r="W287" s="19">
        <v>197289.16998812906</v>
      </c>
    </row>
    <row r="288" spans="3:23" x14ac:dyDescent="0.3">
      <c r="C288" s="12">
        <v>2031</v>
      </c>
      <c r="D288" s="12" t="s">
        <v>79</v>
      </c>
      <c r="E288" s="12" t="s">
        <v>80</v>
      </c>
      <c r="F288" s="12" t="s">
        <v>33</v>
      </c>
      <c r="G288" s="12" t="s">
        <v>34</v>
      </c>
      <c r="H288" s="12" t="s">
        <v>109</v>
      </c>
      <c r="I288" s="12" t="s">
        <v>27</v>
      </c>
      <c r="J288" s="12" t="s">
        <v>96</v>
      </c>
      <c r="K288" s="12" t="s">
        <v>29</v>
      </c>
      <c r="L288" s="12" t="s">
        <v>2</v>
      </c>
      <c r="M288" s="12" t="s">
        <v>2</v>
      </c>
      <c r="N288" s="12" t="s">
        <v>103</v>
      </c>
      <c r="O288" s="12" t="s">
        <v>103</v>
      </c>
      <c r="P288" s="12" t="s">
        <v>101</v>
      </c>
      <c r="Q288" s="12" t="s">
        <v>118</v>
      </c>
      <c r="R288" s="12" t="s">
        <v>158</v>
      </c>
      <c r="S288" s="18">
        <f>_xlfn.XLOOKUP(R288,'Price Assumptions'!E:E,'Price Assumptions'!G:G)</f>
        <v>2.99</v>
      </c>
      <c r="T288" s="18">
        <f t="shared" si="4"/>
        <v>37942635.286867075</v>
      </c>
      <c r="U288" s="12" t="s">
        <v>30</v>
      </c>
      <c r="V288" s="12" t="s">
        <v>9</v>
      </c>
      <c r="W288" s="19">
        <v>12689844.577547517</v>
      </c>
    </row>
    <row r="289" spans="3:23" x14ac:dyDescent="0.3">
      <c r="C289" s="12">
        <v>2031</v>
      </c>
      <c r="D289" s="12" t="s">
        <v>88</v>
      </c>
      <c r="E289" s="12" t="s">
        <v>89</v>
      </c>
      <c r="F289" s="12" t="s">
        <v>33</v>
      </c>
      <c r="G289" s="12" t="s">
        <v>34</v>
      </c>
      <c r="H289" s="12" t="s">
        <v>109</v>
      </c>
      <c r="I289" s="12" t="s">
        <v>27</v>
      </c>
      <c r="J289" s="12" t="s">
        <v>96</v>
      </c>
      <c r="K289" s="12" t="s">
        <v>29</v>
      </c>
      <c r="L289" s="12" t="s">
        <v>2</v>
      </c>
      <c r="M289" s="12" t="s">
        <v>2</v>
      </c>
      <c r="N289" s="12" t="s">
        <v>107</v>
      </c>
      <c r="O289" s="12" t="s">
        <v>107</v>
      </c>
      <c r="P289" s="12" t="s">
        <v>108</v>
      </c>
      <c r="Q289" s="12" t="s">
        <v>120</v>
      </c>
      <c r="R289" s="12" t="s">
        <v>159</v>
      </c>
      <c r="S289" s="18">
        <f>_xlfn.XLOOKUP(R289,'Price Assumptions'!E:E,'Price Assumptions'!G:G)</f>
        <v>2.99</v>
      </c>
      <c r="T289" s="18">
        <f t="shared" si="4"/>
        <v>4600585.4112436175</v>
      </c>
      <c r="U289" s="12" t="s">
        <v>30</v>
      </c>
      <c r="V289" s="12" t="s">
        <v>9</v>
      </c>
      <c r="W289" s="19">
        <v>1538657.3281751228</v>
      </c>
    </row>
    <row r="290" spans="3:23" x14ac:dyDescent="0.3">
      <c r="C290" s="12">
        <v>2031</v>
      </c>
      <c r="D290" s="12" t="s">
        <v>90</v>
      </c>
      <c r="E290" s="12" t="s">
        <v>91</v>
      </c>
      <c r="F290" s="12" t="s">
        <v>33</v>
      </c>
      <c r="G290" s="12" t="s">
        <v>34</v>
      </c>
      <c r="H290" s="12" t="s">
        <v>109</v>
      </c>
      <c r="I290" s="12" t="s">
        <v>27</v>
      </c>
      <c r="J290" s="12" t="s">
        <v>96</v>
      </c>
      <c r="K290" s="12" t="s">
        <v>29</v>
      </c>
      <c r="L290" s="12" t="s">
        <v>2</v>
      </c>
      <c r="M290" s="12" t="s">
        <v>2</v>
      </c>
      <c r="N290" s="12" t="s">
        <v>107</v>
      </c>
      <c r="O290" s="12" t="s">
        <v>107</v>
      </c>
      <c r="P290" s="12" t="s">
        <v>108</v>
      </c>
      <c r="Q290" s="12" t="s">
        <v>118</v>
      </c>
      <c r="R290" s="12" t="s">
        <v>158</v>
      </c>
      <c r="S290" s="18">
        <f>_xlfn.XLOOKUP(R290,'Price Assumptions'!E:E,'Price Assumptions'!G:G)</f>
        <v>2.99</v>
      </c>
      <c r="T290" s="18">
        <f t="shared" si="4"/>
        <v>2245728.8255470288</v>
      </c>
      <c r="U290" s="12" t="s">
        <v>30</v>
      </c>
      <c r="V290" s="12" t="s">
        <v>9</v>
      </c>
      <c r="W290" s="19">
        <v>751079.87476489251</v>
      </c>
    </row>
    <row r="291" spans="3:23" x14ac:dyDescent="0.3">
      <c r="C291" s="12">
        <v>2031</v>
      </c>
      <c r="D291" s="12" t="s">
        <v>92</v>
      </c>
      <c r="E291" s="12" t="s">
        <v>93</v>
      </c>
      <c r="F291" s="12" t="s">
        <v>33</v>
      </c>
      <c r="G291" s="12" t="s">
        <v>34</v>
      </c>
      <c r="H291" s="12" t="s">
        <v>109</v>
      </c>
      <c r="I291" s="12" t="s">
        <v>27</v>
      </c>
      <c r="J291" s="12" t="s">
        <v>96</v>
      </c>
      <c r="K291" s="12" t="s">
        <v>29</v>
      </c>
      <c r="L291" s="12" t="s">
        <v>2</v>
      </c>
      <c r="M291" s="12" t="s">
        <v>2</v>
      </c>
      <c r="N291" s="12" t="s">
        <v>107</v>
      </c>
      <c r="O291" s="12" t="s">
        <v>107</v>
      </c>
      <c r="P291" s="12" t="s">
        <v>108</v>
      </c>
      <c r="Q291" s="12" t="s">
        <v>118</v>
      </c>
      <c r="R291" s="12" t="s">
        <v>158</v>
      </c>
      <c r="S291" s="18">
        <f>_xlfn.XLOOKUP(R291,'Price Assumptions'!E:E,'Price Assumptions'!G:G)</f>
        <v>2.99</v>
      </c>
      <c r="T291" s="18">
        <f t="shared" si="4"/>
        <v>13409164.277860738</v>
      </c>
      <c r="U291" s="12" t="s">
        <v>30</v>
      </c>
      <c r="V291" s="12" t="s">
        <v>9</v>
      </c>
      <c r="W291" s="19">
        <v>4484670.3270437252</v>
      </c>
    </row>
    <row r="292" spans="3:23" x14ac:dyDescent="0.3">
      <c r="C292" s="12">
        <v>2031</v>
      </c>
      <c r="D292" s="12" t="s">
        <v>94</v>
      </c>
      <c r="E292" s="12" t="s">
        <v>95</v>
      </c>
      <c r="F292" s="12" t="s">
        <v>33</v>
      </c>
      <c r="G292" s="12" t="s">
        <v>34</v>
      </c>
      <c r="H292" s="12" t="s">
        <v>109</v>
      </c>
      <c r="I292" s="12" t="s">
        <v>27</v>
      </c>
      <c r="J292" s="12" t="s">
        <v>96</v>
      </c>
      <c r="K292" s="12" t="s">
        <v>29</v>
      </c>
      <c r="L292" s="12" t="s">
        <v>2</v>
      </c>
      <c r="M292" s="12" t="s">
        <v>2</v>
      </c>
      <c r="N292" s="12" t="s">
        <v>107</v>
      </c>
      <c r="O292" s="12" t="s">
        <v>107</v>
      </c>
      <c r="P292" s="12" t="s">
        <v>108</v>
      </c>
      <c r="Q292" s="12" t="s">
        <v>118</v>
      </c>
      <c r="R292" s="12" t="s">
        <v>158</v>
      </c>
      <c r="S292" s="18">
        <f>_xlfn.XLOOKUP(R292,'Price Assumptions'!E:E,'Price Assumptions'!G:G)</f>
        <v>2.99</v>
      </c>
      <c r="T292" s="18">
        <f t="shared" si="4"/>
        <v>3097353.4559140317</v>
      </c>
      <c r="U292" s="12" t="s">
        <v>30</v>
      </c>
      <c r="V292" s="12" t="s">
        <v>9</v>
      </c>
      <c r="W292" s="19">
        <v>1035904.1658575356</v>
      </c>
    </row>
    <row r="293" spans="3:23" x14ac:dyDescent="0.3">
      <c r="C293" s="12">
        <v>2032</v>
      </c>
      <c r="D293" s="12" t="s">
        <v>31</v>
      </c>
      <c r="E293" s="12" t="s">
        <v>32</v>
      </c>
      <c r="F293" s="12" t="s">
        <v>33</v>
      </c>
      <c r="G293" s="12" t="s">
        <v>34</v>
      </c>
      <c r="H293" s="12" t="s">
        <v>109</v>
      </c>
      <c r="I293" s="12" t="s">
        <v>27</v>
      </c>
      <c r="J293" s="12" t="s">
        <v>96</v>
      </c>
      <c r="K293" s="12" t="s">
        <v>29</v>
      </c>
      <c r="L293" s="12" t="s">
        <v>2</v>
      </c>
      <c r="M293" s="12" t="s">
        <v>2</v>
      </c>
      <c r="N293" s="12" t="s">
        <v>107</v>
      </c>
      <c r="O293" s="12" t="s">
        <v>107</v>
      </c>
      <c r="P293" s="12" t="s">
        <v>108</v>
      </c>
      <c r="Q293" s="12" t="s">
        <v>120</v>
      </c>
      <c r="R293" s="12" t="s">
        <v>162</v>
      </c>
      <c r="S293" s="18">
        <f>_xlfn.XLOOKUP(R293,'Price Assumptions'!E:E,'Price Assumptions'!G:G)</f>
        <v>2.99</v>
      </c>
      <c r="T293" s="18">
        <f t="shared" si="4"/>
        <v>6399642.7644346263</v>
      </c>
      <c r="U293" s="12" t="s">
        <v>30</v>
      </c>
      <c r="V293" s="12" t="s">
        <v>9</v>
      </c>
      <c r="W293" s="19">
        <v>2140348.7506470322</v>
      </c>
    </row>
    <row r="294" spans="3:23" x14ac:dyDescent="0.3">
      <c r="C294" s="12">
        <v>2032</v>
      </c>
      <c r="D294" s="12" t="s">
        <v>35</v>
      </c>
      <c r="E294" s="12" t="s">
        <v>36</v>
      </c>
      <c r="F294" s="12" t="s">
        <v>33</v>
      </c>
      <c r="G294" s="12" t="s">
        <v>34</v>
      </c>
      <c r="H294" s="12" t="s">
        <v>109</v>
      </c>
      <c r="I294" s="12" t="s">
        <v>27</v>
      </c>
      <c r="J294" s="12" t="s">
        <v>96</v>
      </c>
      <c r="K294" s="12" t="s">
        <v>29</v>
      </c>
      <c r="L294" s="12" t="s">
        <v>2</v>
      </c>
      <c r="M294" s="12" t="s">
        <v>2</v>
      </c>
      <c r="N294" s="12" t="s">
        <v>104</v>
      </c>
      <c r="O294" s="12" t="s">
        <v>104</v>
      </c>
      <c r="P294" s="12" t="s">
        <v>100</v>
      </c>
      <c r="Q294" s="12" t="s">
        <v>100</v>
      </c>
      <c r="R294" s="12" t="s">
        <v>160</v>
      </c>
      <c r="S294" s="18">
        <f>_xlfn.XLOOKUP(R294,'Price Assumptions'!E:E,'Price Assumptions'!G:G)</f>
        <v>5</v>
      </c>
      <c r="T294" s="18">
        <f t="shared" si="4"/>
        <v>4603892.9552282263</v>
      </c>
      <c r="U294" s="12" t="s">
        <v>30</v>
      </c>
      <c r="V294" s="12" t="s">
        <v>9</v>
      </c>
      <c r="W294" s="19">
        <v>920778.59104564518</v>
      </c>
    </row>
    <row r="295" spans="3:23" x14ac:dyDescent="0.3">
      <c r="C295" s="12">
        <v>2032</v>
      </c>
      <c r="D295" s="12" t="s">
        <v>37</v>
      </c>
      <c r="E295" s="12" t="s">
        <v>38</v>
      </c>
      <c r="F295" s="12" t="s">
        <v>33</v>
      </c>
      <c r="G295" s="12" t="s">
        <v>34</v>
      </c>
      <c r="H295" s="12" t="s">
        <v>109</v>
      </c>
      <c r="I295" s="12" t="s">
        <v>27</v>
      </c>
      <c r="J295" s="12" t="s">
        <v>28</v>
      </c>
      <c r="K295" s="12" t="s">
        <v>29</v>
      </c>
      <c r="L295" s="12" t="s">
        <v>2</v>
      </c>
      <c r="M295" s="12" t="s">
        <v>2</v>
      </c>
      <c r="N295" s="12" t="s">
        <v>107</v>
      </c>
      <c r="O295" s="12" t="s">
        <v>99</v>
      </c>
      <c r="P295" s="12" t="s">
        <v>101</v>
      </c>
      <c r="Q295" s="12" t="s">
        <v>118</v>
      </c>
      <c r="R295" s="12" t="s">
        <v>161</v>
      </c>
      <c r="S295" s="18">
        <f>_xlfn.XLOOKUP(R295,'Price Assumptions'!E:E,'Price Assumptions'!G:G)</f>
        <v>2.99</v>
      </c>
      <c r="T295" s="18">
        <f t="shared" si="4"/>
        <v>6769513.9244521791</v>
      </c>
      <c r="U295" s="12" t="s">
        <v>30</v>
      </c>
      <c r="V295" s="12" t="s">
        <v>9</v>
      </c>
      <c r="W295" s="19">
        <v>2264051.4797498924</v>
      </c>
    </row>
    <row r="296" spans="3:23" x14ac:dyDescent="0.3">
      <c r="C296" s="12">
        <v>2032</v>
      </c>
      <c r="D296" s="12" t="s">
        <v>41</v>
      </c>
      <c r="E296" s="12" t="s">
        <v>42</v>
      </c>
      <c r="F296" s="12" t="s">
        <v>33</v>
      </c>
      <c r="G296" s="12" t="s">
        <v>34</v>
      </c>
      <c r="H296" s="12" t="s">
        <v>109</v>
      </c>
      <c r="I296" s="12" t="s">
        <v>27</v>
      </c>
      <c r="J296" s="12" t="s">
        <v>96</v>
      </c>
      <c r="K296" s="12" t="s">
        <v>29</v>
      </c>
      <c r="L296" s="12" t="s">
        <v>2</v>
      </c>
      <c r="M296" s="12" t="s">
        <v>2</v>
      </c>
      <c r="N296" s="12" t="s">
        <v>107</v>
      </c>
      <c r="O296" s="12" t="s">
        <v>99</v>
      </c>
      <c r="P296" s="12" t="s">
        <v>101</v>
      </c>
      <c r="Q296" s="12" t="s">
        <v>118</v>
      </c>
      <c r="R296" s="12" t="s">
        <v>161</v>
      </c>
      <c r="S296" s="18">
        <f>_xlfn.XLOOKUP(R296,'Price Assumptions'!E:E,'Price Assumptions'!G:G)</f>
        <v>2.99</v>
      </c>
      <c r="T296" s="18">
        <f t="shared" si="4"/>
        <v>5535059.2585311048</v>
      </c>
      <c r="U296" s="12" t="s">
        <v>30</v>
      </c>
      <c r="V296" s="12" t="s">
        <v>9</v>
      </c>
      <c r="W296" s="19">
        <v>1851190.3874685969</v>
      </c>
    </row>
    <row r="297" spans="3:23" x14ac:dyDescent="0.3">
      <c r="C297" s="12">
        <v>2032</v>
      </c>
      <c r="D297" s="12" t="s">
        <v>47</v>
      </c>
      <c r="E297" s="12" t="s">
        <v>48</v>
      </c>
      <c r="F297" s="12" t="s">
        <v>33</v>
      </c>
      <c r="G297" s="12" t="s">
        <v>34</v>
      </c>
      <c r="H297" s="12" t="s">
        <v>109</v>
      </c>
      <c r="I297" s="12" t="s">
        <v>27</v>
      </c>
      <c r="J297" s="12" t="s">
        <v>112</v>
      </c>
      <c r="K297" s="12" t="s">
        <v>113</v>
      </c>
      <c r="L297" s="12" t="s">
        <v>2</v>
      </c>
      <c r="M297" s="12" t="s">
        <v>2</v>
      </c>
      <c r="N297" s="12" t="s">
        <v>107</v>
      </c>
      <c r="O297" s="12" t="s">
        <v>107</v>
      </c>
      <c r="P297" s="12" t="s">
        <v>108</v>
      </c>
      <c r="Q297" s="12" t="s">
        <v>120</v>
      </c>
      <c r="R297" s="12" t="s">
        <v>162</v>
      </c>
      <c r="S297" s="18">
        <f>_xlfn.XLOOKUP(R297,'Price Assumptions'!E:E,'Price Assumptions'!G:G)</f>
        <v>2.99</v>
      </c>
      <c r="T297" s="18">
        <f t="shared" si="4"/>
        <v>1248595.8416412424</v>
      </c>
      <c r="U297" s="12" t="s">
        <v>30</v>
      </c>
      <c r="V297" s="12" t="s">
        <v>9</v>
      </c>
      <c r="W297" s="19">
        <v>417590.58248870977</v>
      </c>
    </row>
    <row r="298" spans="3:23" x14ac:dyDescent="0.3">
      <c r="C298" s="12">
        <v>2032</v>
      </c>
      <c r="D298" s="12" t="s">
        <v>49</v>
      </c>
      <c r="E298" s="12" t="s">
        <v>50</v>
      </c>
      <c r="F298" s="12" t="s">
        <v>33</v>
      </c>
      <c r="G298" s="12" t="s">
        <v>34</v>
      </c>
      <c r="H298" s="12" t="s">
        <v>109</v>
      </c>
      <c r="I298" s="12" t="s">
        <v>27</v>
      </c>
      <c r="J298" s="12" t="s">
        <v>112</v>
      </c>
      <c r="K298" s="12" t="s">
        <v>113</v>
      </c>
      <c r="L298" s="12" t="s">
        <v>2</v>
      </c>
      <c r="M298" s="12" t="s">
        <v>2</v>
      </c>
      <c r="N298" s="12" t="s">
        <v>105</v>
      </c>
      <c r="O298" s="12" t="s">
        <v>105</v>
      </c>
      <c r="P298" s="12" t="s">
        <v>101</v>
      </c>
      <c r="Q298" s="12" t="s">
        <v>118</v>
      </c>
      <c r="R298" s="12" t="s">
        <v>161</v>
      </c>
      <c r="S298" s="18">
        <f>_xlfn.XLOOKUP(R298,'Price Assumptions'!E:E,'Price Assumptions'!G:G)</f>
        <v>2.99</v>
      </c>
      <c r="T298" s="18">
        <f t="shared" si="4"/>
        <v>7772531.0441021109</v>
      </c>
      <c r="U298" s="12" t="s">
        <v>30</v>
      </c>
      <c r="V298" s="12" t="s">
        <v>9</v>
      </c>
      <c r="W298" s="19">
        <v>2599508.7104020435</v>
      </c>
    </row>
    <row r="299" spans="3:23" x14ac:dyDescent="0.3">
      <c r="C299" s="12">
        <v>2032</v>
      </c>
      <c r="D299" s="12" t="s">
        <v>53</v>
      </c>
      <c r="E299" s="12" t="s">
        <v>54</v>
      </c>
      <c r="F299" s="12" t="s">
        <v>33</v>
      </c>
      <c r="G299" s="12" t="s">
        <v>34</v>
      </c>
      <c r="H299" s="12" t="s">
        <v>109</v>
      </c>
      <c r="I299" s="12" t="s">
        <v>27</v>
      </c>
      <c r="J299" s="12" t="s">
        <v>96</v>
      </c>
      <c r="K299" s="12" t="s">
        <v>29</v>
      </c>
      <c r="L299" s="12" t="s">
        <v>2</v>
      </c>
      <c r="M299" s="12" t="s">
        <v>2</v>
      </c>
      <c r="N299" s="12" t="s">
        <v>107</v>
      </c>
      <c r="O299" s="12" t="s">
        <v>107</v>
      </c>
      <c r="P299" s="12" t="s">
        <v>108</v>
      </c>
      <c r="Q299" s="12" t="s">
        <v>118</v>
      </c>
      <c r="R299" s="12" t="s">
        <v>161</v>
      </c>
      <c r="S299" s="18">
        <f>_xlfn.XLOOKUP(R299,'Price Assumptions'!E:E,'Price Assumptions'!G:G)</f>
        <v>2.99</v>
      </c>
      <c r="T299" s="18">
        <f t="shared" si="4"/>
        <v>14639435.806723824</v>
      </c>
      <c r="U299" s="12" t="s">
        <v>30</v>
      </c>
      <c r="V299" s="12" t="s">
        <v>9</v>
      </c>
      <c r="W299" s="19">
        <v>4896132.3768307101</v>
      </c>
    </row>
    <row r="300" spans="3:23" x14ac:dyDescent="0.3">
      <c r="C300" s="12">
        <v>2032</v>
      </c>
      <c r="D300" s="12" t="s">
        <v>57</v>
      </c>
      <c r="E300" s="12" t="s">
        <v>58</v>
      </c>
      <c r="F300" s="12" t="s">
        <v>33</v>
      </c>
      <c r="G300" s="12" t="s">
        <v>34</v>
      </c>
      <c r="H300" s="12" t="s">
        <v>109</v>
      </c>
      <c r="I300" s="12" t="s">
        <v>27</v>
      </c>
      <c r="J300" s="12" t="s">
        <v>112</v>
      </c>
      <c r="K300" s="12" t="s">
        <v>113</v>
      </c>
      <c r="L300" s="12" t="s">
        <v>2</v>
      </c>
      <c r="M300" s="12" t="s">
        <v>2</v>
      </c>
      <c r="N300" s="12" t="s">
        <v>99</v>
      </c>
      <c r="O300" s="12" t="s">
        <v>99</v>
      </c>
      <c r="P300" s="12" t="s">
        <v>101</v>
      </c>
      <c r="Q300" s="12" t="s">
        <v>118</v>
      </c>
      <c r="R300" s="12" t="s">
        <v>161</v>
      </c>
      <c r="S300" s="18">
        <f>_xlfn.XLOOKUP(R300,'Price Assumptions'!E:E,'Price Assumptions'!G:G)</f>
        <v>2.99</v>
      </c>
      <c r="T300" s="18">
        <f t="shared" si="4"/>
        <v>7075728.343805396</v>
      </c>
      <c r="U300" s="12" t="s">
        <v>30</v>
      </c>
      <c r="V300" s="12" t="s">
        <v>9</v>
      </c>
      <c r="W300" s="19">
        <v>2366464.3290319047</v>
      </c>
    </row>
    <row r="301" spans="3:23" x14ac:dyDescent="0.3">
      <c r="C301" s="12">
        <v>2032</v>
      </c>
      <c r="D301" s="12" t="s">
        <v>59</v>
      </c>
      <c r="E301" s="12" t="s">
        <v>60</v>
      </c>
      <c r="F301" s="12" t="s">
        <v>33</v>
      </c>
      <c r="G301" s="12" t="s">
        <v>34</v>
      </c>
      <c r="H301" s="12" t="s">
        <v>109</v>
      </c>
      <c r="I301" s="12" t="s">
        <v>27</v>
      </c>
      <c r="J301" s="12" t="s">
        <v>110</v>
      </c>
      <c r="K301" s="12" t="s">
        <v>111</v>
      </c>
      <c r="L301" s="12" t="s">
        <v>2</v>
      </c>
      <c r="M301" s="12" t="s">
        <v>2</v>
      </c>
      <c r="N301" s="12" t="s">
        <v>107</v>
      </c>
      <c r="O301" s="12" t="s">
        <v>107</v>
      </c>
      <c r="P301" s="12" t="s">
        <v>108</v>
      </c>
      <c r="Q301" s="12" t="s">
        <v>100</v>
      </c>
      <c r="R301" s="12" t="s">
        <v>160</v>
      </c>
      <c r="S301" s="18">
        <f>_xlfn.XLOOKUP(R301,'Price Assumptions'!E:E,'Price Assumptions'!G:G)</f>
        <v>5</v>
      </c>
      <c r="T301" s="18">
        <f t="shared" si="4"/>
        <v>2600586.7365720966</v>
      </c>
      <c r="U301" s="12" t="s">
        <v>30</v>
      </c>
      <c r="V301" s="12" t="s">
        <v>9</v>
      </c>
      <c r="W301" s="19">
        <v>520117.34731441928</v>
      </c>
    </row>
    <row r="302" spans="3:23" x14ac:dyDescent="0.3">
      <c r="C302" s="12">
        <v>2032</v>
      </c>
      <c r="D302" s="12" t="s">
        <v>61</v>
      </c>
      <c r="E302" s="12" t="s">
        <v>62</v>
      </c>
      <c r="F302" s="12" t="s">
        <v>33</v>
      </c>
      <c r="G302" s="12" t="s">
        <v>34</v>
      </c>
      <c r="H302" s="12" t="s">
        <v>109</v>
      </c>
      <c r="I302" s="12" t="s">
        <v>27</v>
      </c>
      <c r="J302" s="12" t="s">
        <v>28</v>
      </c>
      <c r="K302" s="12" t="s">
        <v>29</v>
      </c>
      <c r="L302" s="12" t="s">
        <v>2</v>
      </c>
      <c r="M302" s="12" t="s">
        <v>2</v>
      </c>
      <c r="N302" s="12" t="s">
        <v>107</v>
      </c>
      <c r="O302" s="12" t="s">
        <v>107</v>
      </c>
      <c r="P302" s="12" t="s">
        <v>108</v>
      </c>
      <c r="Q302" s="12" t="s">
        <v>100</v>
      </c>
      <c r="R302" s="12" t="s">
        <v>160</v>
      </c>
      <c r="S302" s="18">
        <f>_xlfn.XLOOKUP(R302,'Price Assumptions'!E:E,'Price Assumptions'!G:G)</f>
        <v>5</v>
      </c>
      <c r="T302" s="18">
        <f t="shared" si="4"/>
        <v>148007.41310069355</v>
      </c>
      <c r="U302" s="12" t="s">
        <v>30</v>
      </c>
      <c r="V302" s="12" t="s">
        <v>9</v>
      </c>
      <c r="W302" s="19">
        <v>29601.482620138711</v>
      </c>
    </row>
    <row r="303" spans="3:23" x14ac:dyDescent="0.3">
      <c r="C303" s="12">
        <v>2032</v>
      </c>
      <c r="D303" s="12" t="s">
        <v>63</v>
      </c>
      <c r="E303" s="12" t="s">
        <v>64</v>
      </c>
      <c r="F303" s="12" t="s">
        <v>33</v>
      </c>
      <c r="G303" s="12" t="s">
        <v>34</v>
      </c>
      <c r="H303" s="12" t="s">
        <v>109</v>
      </c>
      <c r="I303" s="12" t="s">
        <v>27</v>
      </c>
      <c r="J303" s="12" t="s">
        <v>96</v>
      </c>
      <c r="K303" s="12" t="s">
        <v>29</v>
      </c>
      <c r="L303" s="12" t="s">
        <v>2</v>
      </c>
      <c r="M303" s="12" t="s">
        <v>2</v>
      </c>
      <c r="N303" s="12" t="s">
        <v>107</v>
      </c>
      <c r="O303" s="12" t="s">
        <v>99</v>
      </c>
      <c r="P303" s="12" t="s">
        <v>101</v>
      </c>
      <c r="Q303" s="12" t="s">
        <v>118</v>
      </c>
      <c r="R303" s="12" t="s">
        <v>161</v>
      </c>
      <c r="S303" s="18">
        <f>_xlfn.XLOOKUP(R303,'Price Assumptions'!E:E,'Price Assumptions'!G:G)</f>
        <v>2.99</v>
      </c>
      <c r="T303" s="18">
        <f t="shared" si="4"/>
        <v>3242704.3949203724</v>
      </c>
      <c r="U303" s="12" t="s">
        <v>30</v>
      </c>
      <c r="V303" s="12" t="s">
        <v>9</v>
      </c>
      <c r="W303" s="19">
        <v>1084516.5200402583</v>
      </c>
    </row>
    <row r="304" spans="3:23" x14ac:dyDescent="0.3">
      <c r="C304" s="12">
        <v>2032</v>
      </c>
      <c r="D304" s="12" t="s">
        <v>73</v>
      </c>
      <c r="E304" s="12" t="s">
        <v>74</v>
      </c>
      <c r="F304" s="12" t="s">
        <v>33</v>
      </c>
      <c r="G304" s="12" t="s">
        <v>34</v>
      </c>
      <c r="H304" s="12" t="s">
        <v>109</v>
      </c>
      <c r="I304" s="12" t="s">
        <v>27</v>
      </c>
      <c r="J304" s="12" t="s">
        <v>96</v>
      </c>
      <c r="K304" s="12" t="s">
        <v>29</v>
      </c>
      <c r="L304" s="12" t="s">
        <v>2</v>
      </c>
      <c r="M304" s="12" t="s">
        <v>2</v>
      </c>
      <c r="N304" s="12" t="s">
        <v>107</v>
      </c>
      <c r="O304" s="12" t="s">
        <v>107</v>
      </c>
      <c r="P304" s="12" t="s">
        <v>108</v>
      </c>
      <c r="Q304" s="12" t="s">
        <v>120</v>
      </c>
      <c r="R304" s="12" t="s">
        <v>162</v>
      </c>
      <c r="S304" s="18">
        <f>_xlfn.XLOOKUP(R304,'Price Assumptions'!E:E,'Price Assumptions'!G:G)</f>
        <v>2.99</v>
      </c>
      <c r="T304" s="18">
        <f t="shared" si="4"/>
        <v>597836.48504456726</v>
      </c>
      <c r="U304" s="12" t="s">
        <v>30</v>
      </c>
      <c r="V304" s="12" t="s">
        <v>9</v>
      </c>
      <c r="W304" s="19">
        <v>199945.31272393552</v>
      </c>
    </row>
    <row r="305" spans="3:23" x14ac:dyDescent="0.3">
      <c r="C305" s="12">
        <v>2032</v>
      </c>
      <c r="D305" s="12" t="s">
        <v>79</v>
      </c>
      <c r="E305" s="12" t="s">
        <v>80</v>
      </c>
      <c r="F305" s="12" t="s">
        <v>33</v>
      </c>
      <c r="G305" s="12" t="s">
        <v>34</v>
      </c>
      <c r="H305" s="12" t="s">
        <v>109</v>
      </c>
      <c r="I305" s="12" t="s">
        <v>27</v>
      </c>
      <c r="J305" s="12" t="s">
        <v>96</v>
      </c>
      <c r="K305" s="12" t="s">
        <v>29</v>
      </c>
      <c r="L305" s="12" t="s">
        <v>2</v>
      </c>
      <c r="M305" s="12" t="s">
        <v>2</v>
      </c>
      <c r="N305" s="12" t="s">
        <v>103</v>
      </c>
      <c r="O305" s="12" t="s">
        <v>103</v>
      </c>
      <c r="P305" s="12" t="s">
        <v>101</v>
      </c>
      <c r="Q305" s="12" t="s">
        <v>118</v>
      </c>
      <c r="R305" s="12" t="s">
        <v>161</v>
      </c>
      <c r="S305" s="18">
        <f>_xlfn.XLOOKUP(R305,'Price Assumptions'!E:E,'Price Assumptions'!G:G)</f>
        <v>2.99</v>
      </c>
      <c r="T305" s="18">
        <f t="shared" si="4"/>
        <v>38744921.278922178</v>
      </c>
      <c r="U305" s="12" t="s">
        <v>30</v>
      </c>
      <c r="V305" s="12" t="s">
        <v>9</v>
      </c>
      <c r="W305" s="19">
        <v>12958167.651813436</v>
      </c>
    </row>
    <row r="306" spans="3:23" x14ac:dyDescent="0.3">
      <c r="C306" s="12">
        <v>2032</v>
      </c>
      <c r="D306" s="12" t="s">
        <v>88</v>
      </c>
      <c r="E306" s="12" t="s">
        <v>89</v>
      </c>
      <c r="F306" s="12" t="s">
        <v>33</v>
      </c>
      <c r="G306" s="12" t="s">
        <v>34</v>
      </c>
      <c r="H306" s="12" t="s">
        <v>109</v>
      </c>
      <c r="I306" s="12" t="s">
        <v>27</v>
      </c>
      <c r="J306" s="12" t="s">
        <v>96</v>
      </c>
      <c r="K306" s="12" t="s">
        <v>29</v>
      </c>
      <c r="L306" s="12" t="s">
        <v>2</v>
      </c>
      <c r="M306" s="12" t="s">
        <v>2</v>
      </c>
      <c r="N306" s="12" t="s">
        <v>107</v>
      </c>
      <c r="O306" s="12" t="s">
        <v>107</v>
      </c>
      <c r="P306" s="12" t="s">
        <v>108</v>
      </c>
      <c r="Q306" s="12" t="s">
        <v>120</v>
      </c>
      <c r="R306" s="12" t="s">
        <v>162</v>
      </c>
      <c r="S306" s="18">
        <f>_xlfn.XLOOKUP(R306,'Price Assumptions'!E:E,'Price Assumptions'!G:G)</f>
        <v>2.99</v>
      </c>
      <c r="T306" s="18">
        <f t="shared" si="4"/>
        <v>4655625.3182810992</v>
      </c>
      <c r="U306" s="12" t="s">
        <v>30</v>
      </c>
      <c r="V306" s="12" t="s">
        <v>9</v>
      </c>
      <c r="W306" s="19">
        <v>1557065.3238398323</v>
      </c>
    </row>
    <row r="307" spans="3:23" x14ac:dyDescent="0.3">
      <c r="C307" s="12">
        <v>2032</v>
      </c>
      <c r="D307" s="12" t="s">
        <v>90</v>
      </c>
      <c r="E307" s="12" t="s">
        <v>91</v>
      </c>
      <c r="F307" s="12" t="s">
        <v>33</v>
      </c>
      <c r="G307" s="12" t="s">
        <v>34</v>
      </c>
      <c r="H307" s="12" t="s">
        <v>109</v>
      </c>
      <c r="I307" s="12" t="s">
        <v>27</v>
      </c>
      <c r="J307" s="12" t="s">
        <v>96</v>
      </c>
      <c r="K307" s="12" t="s">
        <v>29</v>
      </c>
      <c r="L307" s="12" t="s">
        <v>2</v>
      </c>
      <c r="M307" s="12" t="s">
        <v>2</v>
      </c>
      <c r="N307" s="12" t="s">
        <v>107</v>
      </c>
      <c r="O307" s="12" t="s">
        <v>107</v>
      </c>
      <c r="P307" s="12" t="s">
        <v>108</v>
      </c>
      <c r="Q307" s="12" t="s">
        <v>118</v>
      </c>
      <c r="R307" s="12" t="s">
        <v>161</v>
      </c>
      <c r="S307" s="18">
        <f>_xlfn.XLOOKUP(R307,'Price Assumptions'!E:E,'Price Assumptions'!G:G)</f>
        <v>2.99</v>
      </c>
      <c r="T307" s="18">
        <f t="shared" si="4"/>
        <v>2307548.128639577</v>
      </c>
      <c r="U307" s="12" t="s">
        <v>30</v>
      </c>
      <c r="V307" s="12" t="s">
        <v>9</v>
      </c>
      <c r="W307" s="19">
        <v>771755.22696975805</v>
      </c>
    </row>
    <row r="308" spans="3:23" x14ac:dyDescent="0.3">
      <c r="C308" s="12">
        <v>2032</v>
      </c>
      <c r="D308" s="12" t="s">
        <v>92</v>
      </c>
      <c r="E308" s="12" t="s">
        <v>93</v>
      </c>
      <c r="F308" s="12" t="s">
        <v>33</v>
      </c>
      <c r="G308" s="12" t="s">
        <v>34</v>
      </c>
      <c r="H308" s="12" t="s">
        <v>109</v>
      </c>
      <c r="I308" s="12" t="s">
        <v>27</v>
      </c>
      <c r="J308" s="12" t="s">
        <v>96</v>
      </c>
      <c r="K308" s="12" t="s">
        <v>29</v>
      </c>
      <c r="L308" s="12" t="s">
        <v>2</v>
      </c>
      <c r="M308" s="12" t="s">
        <v>2</v>
      </c>
      <c r="N308" s="12" t="s">
        <v>107</v>
      </c>
      <c r="O308" s="12" t="s">
        <v>107</v>
      </c>
      <c r="P308" s="12" t="s">
        <v>108</v>
      </c>
      <c r="Q308" s="12" t="s">
        <v>118</v>
      </c>
      <c r="R308" s="12" t="s">
        <v>161</v>
      </c>
      <c r="S308" s="18">
        <f>_xlfn.XLOOKUP(R308,'Price Assumptions'!E:E,'Price Assumptions'!G:G)</f>
        <v>2.99</v>
      </c>
      <c r="T308" s="18">
        <f t="shared" si="4"/>
        <v>13420715.761946702</v>
      </c>
      <c r="U308" s="12" t="s">
        <v>30</v>
      </c>
      <c r="V308" s="12" t="s">
        <v>9</v>
      </c>
      <c r="W308" s="19">
        <v>4488533.6996477265</v>
      </c>
    </row>
    <row r="309" spans="3:23" x14ac:dyDescent="0.3">
      <c r="C309" s="12">
        <v>2032</v>
      </c>
      <c r="D309" s="12" t="s">
        <v>94</v>
      </c>
      <c r="E309" s="12" t="s">
        <v>95</v>
      </c>
      <c r="F309" s="12" t="s">
        <v>33</v>
      </c>
      <c r="G309" s="12" t="s">
        <v>34</v>
      </c>
      <c r="H309" s="12" t="s">
        <v>109</v>
      </c>
      <c r="I309" s="12" t="s">
        <v>27</v>
      </c>
      <c r="J309" s="12" t="s">
        <v>96</v>
      </c>
      <c r="K309" s="12" t="s">
        <v>29</v>
      </c>
      <c r="L309" s="12" t="s">
        <v>2</v>
      </c>
      <c r="M309" s="12" t="s">
        <v>2</v>
      </c>
      <c r="N309" s="12" t="s">
        <v>107</v>
      </c>
      <c r="O309" s="12" t="s">
        <v>107</v>
      </c>
      <c r="P309" s="12" t="s">
        <v>108</v>
      </c>
      <c r="Q309" s="12" t="s">
        <v>118</v>
      </c>
      <c r="R309" s="12" t="s">
        <v>161</v>
      </c>
      <c r="S309" s="18">
        <f>_xlfn.XLOOKUP(R309,'Price Assumptions'!E:E,'Price Assumptions'!G:G)</f>
        <v>2.99</v>
      </c>
      <c r="T309" s="18">
        <f t="shared" si="4"/>
        <v>3134264.9199481993</v>
      </c>
      <c r="U309" s="12" t="s">
        <v>30</v>
      </c>
      <c r="V309" s="12" t="s">
        <v>9</v>
      </c>
      <c r="W309" s="19">
        <v>1048249.1371064211</v>
      </c>
    </row>
    <row r="310" spans="3:23" x14ac:dyDescent="0.3">
      <c r="C310" s="12">
        <v>2033</v>
      </c>
      <c r="D310" s="12" t="s">
        <v>31</v>
      </c>
      <c r="E310" s="12" t="s">
        <v>32</v>
      </c>
      <c r="F310" s="12" t="s">
        <v>33</v>
      </c>
      <c r="G310" s="12" t="s">
        <v>34</v>
      </c>
      <c r="H310" s="12" t="s">
        <v>109</v>
      </c>
      <c r="I310" s="12" t="s">
        <v>27</v>
      </c>
      <c r="J310" s="12" t="s">
        <v>96</v>
      </c>
      <c r="K310" s="12" t="s">
        <v>29</v>
      </c>
      <c r="L310" s="12" t="s">
        <v>2</v>
      </c>
      <c r="M310" s="12" t="s">
        <v>2</v>
      </c>
      <c r="N310" s="12" t="s">
        <v>107</v>
      </c>
      <c r="O310" s="12" t="s">
        <v>107</v>
      </c>
      <c r="P310" s="12" t="s">
        <v>108</v>
      </c>
      <c r="Q310" s="12" t="s">
        <v>120</v>
      </c>
      <c r="R310" s="12" t="s">
        <v>165</v>
      </c>
      <c r="S310" s="18">
        <f>_xlfn.XLOOKUP(R310,'Price Assumptions'!E:E,'Price Assumptions'!G:G)</f>
        <v>2.99</v>
      </c>
      <c r="T310" s="18">
        <f t="shared" si="4"/>
        <v>6594567.7450406691</v>
      </c>
      <c r="U310" s="12" t="s">
        <v>30</v>
      </c>
      <c r="V310" s="12" t="s">
        <v>9</v>
      </c>
      <c r="W310" s="19">
        <v>2205541.0518530663</v>
      </c>
    </row>
    <row r="311" spans="3:23" x14ac:dyDescent="0.3">
      <c r="C311" s="12">
        <v>2033</v>
      </c>
      <c r="D311" s="12" t="s">
        <v>35</v>
      </c>
      <c r="E311" s="12" t="s">
        <v>36</v>
      </c>
      <c r="F311" s="12" t="s">
        <v>33</v>
      </c>
      <c r="G311" s="12" t="s">
        <v>34</v>
      </c>
      <c r="H311" s="12" t="s">
        <v>109</v>
      </c>
      <c r="I311" s="12" t="s">
        <v>27</v>
      </c>
      <c r="J311" s="12" t="s">
        <v>96</v>
      </c>
      <c r="K311" s="12" t="s">
        <v>29</v>
      </c>
      <c r="L311" s="12" t="s">
        <v>2</v>
      </c>
      <c r="M311" s="12" t="s">
        <v>2</v>
      </c>
      <c r="N311" s="12" t="s">
        <v>104</v>
      </c>
      <c r="O311" s="12" t="s">
        <v>104</v>
      </c>
      <c r="P311" s="12" t="s">
        <v>100</v>
      </c>
      <c r="Q311" s="12" t="s">
        <v>100</v>
      </c>
      <c r="R311" s="12" t="s">
        <v>163</v>
      </c>
      <c r="S311" s="18">
        <f>_xlfn.XLOOKUP(R311,'Price Assumptions'!E:E,'Price Assumptions'!G:G)</f>
        <v>5</v>
      </c>
      <c r="T311" s="18">
        <f t="shared" si="4"/>
        <v>4718730.1696029576</v>
      </c>
      <c r="U311" s="12" t="s">
        <v>30</v>
      </c>
      <c r="V311" s="12" t="s">
        <v>9</v>
      </c>
      <c r="W311" s="19">
        <v>943746.03392059146</v>
      </c>
    </row>
    <row r="312" spans="3:23" x14ac:dyDescent="0.3">
      <c r="C312" s="12">
        <v>2033</v>
      </c>
      <c r="D312" s="12" t="s">
        <v>37</v>
      </c>
      <c r="E312" s="12" t="s">
        <v>38</v>
      </c>
      <c r="F312" s="12" t="s">
        <v>33</v>
      </c>
      <c r="G312" s="12" t="s">
        <v>34</v>
      </c>
      <c r="H312" s="12" t="s">
        <v>109</v>
      </c>
      <c r="I312" s="12" t="s">
        <v>27</v>
      </c>
      <c r="J312" s="12" t="s">
        <v>28</v>
      </c>
      <c r="K312" s="12" t="s">
        <v>29</v>
      </c>
      <c r="L312" s="12" t="s">
        <v>2</v>
      </c>
      <c r="M312" s="12" t="s">
        <v>2</v>
      </c>
      <c r="N312" s="12" t="s">
        <v>107</v>
      </c>
      <c r="O312" s="12" t="s">
        <v>99</v>
      </c>
      <c r="P312" s="12" t="s">
        <v>101</v>
      </c>
      <c r="Q312" s="12" t="s">
        <v>118</v>
      </c>
      <c r="R312" s="12" t="s">
        <v>164</v>
      </c>
      <c r="S312" s="18">
        <f>_xlfn.XLOOKUP(R312,'Price Assumptions'!E:E,'Price Assumptions'!G:G)</f>
        <v>2.99</v>
      </c>
      <c r="T312" s="18">
        <f t="shared" si="4"/>
        <v>6846621.3084682487</v>
      </c>
      <c r="U312" s="12" t="s">
        <v>30</v>
      </c>
      <c r="V312" s="12" t="s">
        <v>9</v>
      </c>
      <c r="W312" s="19">
        <v>2289839.9024977419</v>
      </c>
    </row>
    <row r="313" spans="3:23" x14ac:dyDescent="0.3">
      <c r="C313" s="12">
        <v>2033</v>
      </c>
      <c r="D313" s="12" t="s">
        <v>41</v>
      </c>
      <c r="E313" s="12" t="s">
        <v>42</v>
      </c>
      <c r="F313" s="12" t="s">
        <v>33</v>
      </c>
      <c r="G313" s="12" t="s">
        <v>34</v>
      </c>
      <c r="H313" s="12" t="s">
        <v>109</v>
      </c>
      <c r="I313" s="12" t="s">
        <v>27</v>
      </c>
      <c r="J313" s="12" t="s">
        <v>96</v>
      </c>
      <c r="K313" s="12" t="s">
        <v>29</v>
      </c>
      <c r="L313" s="12" t="s">
        <v>2</v>
      </c>
      <c r="M313" s="12" t="s">
        <v>2</v>
      </c>
      <c r="N313" s="12" t="s">
        <v>107</v>
      </c>
      <c r="O313" s="12" t="s">
        <v>99</v>
      </c>
      <c r="P313" s="12" t="s">
        <v>101</v>
      </c>
      <c r="Q313" s="12" t="s">
        <v>118</v>
      </c>
      <c r="R313" s="12" t="s">
        <v>164</v>
      </c>
      <c r="S313" s="18">
        <f>_xlfn.XLOOKUP(R313,'Price Assumptions'!E:E,'Price Assumptions'!G:G)</f>
        <v>2.99</v>
      </c>
      <c r="T313" s="18">
        <f t="shared" si="4"/>
        <v>5671306.3349578427</v>
      </c>
      <c r="U313" s="12" t="s">
        <v>30</v>
      </c>
      <c r="V313" s="12" t="s">
        <v>9</v>
      </c>
      <c r="W313" s="19">
        <v>1896757.9715578067</v>
      </c>
    </row>
    <row r="314" spans="3:23" x14ac:dyDescent="0.3">
      <c r="C314" s="12">
        <v>2033</v>
      </c>
      <c r="D314" s="12" t="s">
        <v>47</v>
      </c>
      <c r="E314" s="12" t="s">
        <v>48</v>
      </c>
      <c r="F314" s="12" t="s">
        <v>33</v>
      </c>
      <c r="G314" s="12" t="s">
        <v>34</v>
      </c>
      <c r="H314" s="12" t="s">
        <v>109</v>
      </c>
      <c r="I314" s="12" t="s">
        <v>27</v>
      </c>
      <c r="J314" s="12" t="s">
        <v>112</v>
      </c>
      <c r="K314" s="12" t="s">
        <v>113</v>
      </c>
      <c r="L314" s="12" t="s">
        <v>2</v>
      </c>
      <c r="M314" s="12" t="s">
        <v>2</v>
      </c>
      <c r="N314" s="12" t="s">
        <v>107</v>
      </c>
      <c r="O314" s="12" t="s">
        <v>107</v>
      </c>
      <c r="P314" s="12" t="s">
        <v>108</v>
      </c>
      <c r="Q314" s="12" t="s">
        <v>120</v>
      </c>
      <c r="R314" s="12" t="s">
        <v>165</v>
      </c>
      <c r="S314" s="18">
        <f>_xlfn.XLOOKUP(R314,'Price Assumptions'!E:E,'Price Assumptions'!G:G)</f>
        <v>2.99</v>
      </c>
      <c r="T314" s="18">
        <f t="shared" si="4"/>
        <v>1286509.6823056485</v>
      </c>
      <c r="U314" s="12" t="s">
        <v>30</v>
      </c>
      <c r="V314" s="12" t="s">
        <v>9</v>
      </c>
      <c r="W314" s="19">
        <v>430270.79675774195</v>
      </c>
    </row>
    <row r="315" spans="3:23" x14ac:dyDescent="0.3">
      <c r="C315" s="12">
        <v>2033</v>
      </c>
      <c r="D315" s="12" t="s">
        <v>49</v>
      </c>
      <c r="E315" s="12" t="s">
        <v>50</v>
      </c>
      <c r="F315" s="12" t="s">
        <v>33</v>
      </c>
      <c r="G315" s="12" t="s">
        <v>34</v>
      </c>
      <c r="H315" s="12" t="s">
        <v>109</v>
      </c>
      <c r="I315" s="12" t="s">
        <v>27</v>
      </c>
      <c r="J315" s="12" t="s">
        <v>112</v>
      </c>
      <c r="K315" s="12" t="s">
        <v>113</v>
      </c>
      <c r="L315" s="12" t="s">
        <v>2</v>
      </c>
      <c r="M315" s="12" t="s">
        <v>2</v>
      </c>
      <c r="N315" s="12" t="s">
        <v>105</v>
      </c>
      <c r="O315" s="12" t="s">
        <v>105</v>
      </c>
      <c r="P315" s="12" t="s">
        <v>101</v>
      </c>
      <c r="Q315" s="12" t="s">
        <v>118</v>
      </c>
      <c r="R315" s="12" t="s">
        <v>164</v>
      </c>
      <c r="S315" s="18">
        <f>_xlfn.XLOOKUP(R315,'Price Assumptions'!E:E,'Price Assumptions'!G:G)</f>
        <v>2.99</v>
      </c>
      <c r="T315" s="18">
        <f t="shared" si="4"/>
        <v>8040058.4263757495</v>
      </c>
      <c r="U315" s="12" t="s">
        <v>30</v>
      </c>
      <c r="V315" s="12" t="s">
        <v>9</v>
      </c>
      <c r="W315" s="19">
        <v>2688982.7512962371</v>
      </c>
    </row>
    <row r="316" spans="3:23" x14ac:dyDescent="0.3">
      <c r="C316" s="12">
        <v>2033</v>
      </c>
      <c r="D316" s="12" t="s">
        <v>53</v>
      </c>
      <c r="E316" s="12" t="s">
        <v>54</v>
      </c>
      <c r="F316" s="12" t="s">
        <v>33</v>
      </c>
      <c r="G316" s="12" t="s">
        <v>34</v>
      </c>
      <c r="H316" s="12" t="s">
        <v>109</v>
      </c>
      <c r="I316" s="12" t="s">
        <v>27</v>
      </c>
      <c r="J316" s="12" t="s">
        <v>96</v>
      </c>
      <c r="K316" s="12" t="s">
        <v>29</v>
      </c>
      <c r="L316" s="12" t="s">
        <v>2</v>
      </c>
      <c r="M316" s="12" t="s">
        <v>2</v>
      </c>
      <c r="N316" s="12" t="s">
        <v>107</v>
      </c>
      <c r="O316" s="12" t="s">
        <v>107</v>
      </c>
      <c r="P316" s="12" t="s">
        <v>108</v>
      </c>
      <c r="Q316" s="12" t="s">
        <v>118</v>
      </c>
      <c r="R316" s="12" t="s">
        <v>164</v>
      </c>
      <c r="S316" s="18">
        <f>_xlfn.XLOOKUP(R316,'Price Assumptions'!E:E,'Price Assumptions'!G:G)</f>
        <v>2.99</v>
      </c>
      <c r="T316" s="18">
        <f t="shared" si="4"/>
        <v>14898526.672556126</v>
      </c>
      <c r="U316" s="12" t="s">
        <v>30</v>
      </c>
      <c r="V316" s="12" t="s">
        <v>9</v>
      </c>
      <c r="W316" s="19">
        <v>4982784.8403197741</v>
      </c>
    </row>
    <row r="317" spans="3:23" x14ac:dyDescent="0.3">
      <c r="C317" s="12">
        <v>2033</v>
      </c>
      <c r="D317" s="12" t="s">
        <v>57</v>
      </c>
      <c r="E317" s="12" t="s">
        <v>58</v>
      </c>
      <c r="F317" s="12" t="s">
        <v>33</v>
      </c>
      <c r="G317" s="12" t="s">
        <v>34</v>
      </c>
      <c r="H317" s="12" t="s">
        <v>109</v>
      </c>
      <c r="I317" s="12" t="s">
        <v>27</v>
      </c>
      <c r="J317" s="12" t="s">
        <v>112</v>
      </c>
      <c r="K317" s="12" t="s">
        <v>113</v>
      </c>
      <c r="L317" s="12" t="s">
        <v>2</v>
      </c>
      <c r="M317" s="12" t="s">
        <v>2</v>
      </c>
      <c r="N317" s="12" t="s">
        <v>99</v>
      </c>
      <c r="O317" s="12" t="s">
        <v>99</v>
      </c>
      <c r="P317" s="12" t="s">
        <v>101</v>
      </c>
      <c r="Q317" s="12" t="s">
        <v>118</v>
      </c>
      <c r="R317" s="12" t="s">
        <v>164</v>
      </c>
      <c r="S317" s="18">
        <f>_xlfn.XLOOKUP(R317,'Price Assumptions'!E:E,'Price Assumptions'!G:G)</f>
        <v>2.99</v>
      </c>
      <c r="T317" s="18">
        <f t="shared" si="4"/>
        <v>7136755.3327760547</v>
      </c>
      <c r="U317" s="12" t="s">
        <v>30</v>
      </c>
      <c r="V317" s="12" t="s">
        <v>9</v>
      </c>
      <c r="W317" s="19">
        <v>2386874.6932361387</v>
      </c>
    </row>
    <row r="318" spans="3:23" x14ac:dyDescent="0.3">
      <c r="C318" s="12">
        <v>2033</v>
      </c>
      <c r="D318" s="12" t="s">
        <v>59</v>
      </c>
      <c r="E318" s="12" t="s">
        <v>60</v>
      </c>
      <c r="F318" s="12" t="s">
        <v>33</v>
      </c>
      <c r="G318" s="12" t="s">
        <v>34</v>
      </c>
      <c r="H318" s="12" t="s">
        <v>109</v>
      </c>
      <c r="I318" s="12" t="s">
        <v>27</v>
      </c>
      <c r="J318" s="12" t="s">
        <v>110</v>
      </c>
      <c r="K318" s="12" t="s">
        <v>111</v>
      </c>
      <c r="L318" s="12" t="s">
        <v>2</v>
      </c>
      <c r="M318" s="12" t="s">
        <v>2</v>
      </c>
      <c r="N318" s="12" t="s">
        <v>107</v>
      </c>
      <c r="O318" s="12" t="s">
        <v>107</v>
      </c>
      <c r="P318" s="12" t="s">
        <v>108</v>
      </c>
      <c r="Q318" s="12" t="s">
        <v>100</v>
      </c>
      <c r="R318" s="12" t="s">
        <v>163</v>
      </c>
      <c r="S318" s="18">
        <f>_xlfn.XLOOKUP(R318,'Price Assumptions'!E:E,'Price Assumptions'!G:G)</f>
        <v>5</v>
      </c>
      <c r="T318" s="18">
        <f t="shared" si="4"/>
        <v>2645187.6186479032</v>
      </c>
      <c r="U318" s="12" t="s">
        <v>30</v>
      </c>
      <c r="V318" s="12" t="s">
        <v>9</v>
      </c>
      <c r="W318" s="19">
        <v>529037.52372958069</v>
      </c>
    </row>
    <row r="319" spans="3:23" x14ac:dyDescent="0.3">
      <c r="C319" s="12">
        <v>2033</v>
      </c>
      <c r="D319" s="12" t="s">
        <v>61</v>
      </c>
      <c r="E319" s="12" t="s">
        <v>62</v>
      </c>
      <c r="F319" s="12" t="s">
        <v>33</v>
      </c>
      <c r="G319" s="12" t="s">
        <v>34</v>
      </c>
      <c r="H319" s="12" t="s">
        <v>109</v>
      </c>
      <c r="I319" s="12" t="s">
        <v>27</v>
      </c>
      <c r="J319" s="12" t="s">
        <v>28</v>
      </c>
      <c r="K319" s="12" t="s">
        <v>29</v>
      </c>
      <c r="L319" s="12" t="s">
        <v>2</v>
      </c>
      <c r="M319" s="12" t="s">
        <v>2</v>
      </c>
      <c r="N319" s="12" t="s">
        <v>107</v>
      </c>
      <c r="O319" s="12" t="s">
        <v>107</v>
      </c>
      <c r="P319" s="12" t="s">
        <v>108</v>
      </c>
      <c r="Q319" s="12" t="s">
        <v>100</v>
      </c>
      <c r="R319" s="12" t="s">
        <v>163</v>
      </c>
      <c r="S319" s="18">
        <f>_xlfn.XLOOKUP(R319,'Price Assumptions'!E:E,'Price Assumptions'!G:G)</f>
        <v>5</v>
      </c>
      <c r="T319" s="18">
        <f t="shared" si="4"/>
        <v>150693.08812084407</v>
      </c>
      <c r="U319" s="12" t="s">
        <v>30</v>
      </c>
      <c r="V319" s="12" t="s">
        <v>9</v>
      </c>
      <c r="W319" s="19">
        <v>30138.617624168815</v>
      </c>
    </row>
    <row r="320" spans="3:23" x14ac:dyDescent="0.3">
      <c r="C320" s="12">
        <v>2033</v>
      </c>
      <c r="D320" s="12" t="s">
        <v>63</v>
      </c>
      <c r="E320" s="12" t="s">
        <v>64</v>
      </c>
      <c r="F320" s="12" t="s">
        <v>33</v>
      </c>
      <c r="G320" s="12" t="s">
        <v>34</v>
      </c>
      <c r="H320" s="12" t="s">
        <v>109</v>
      </c>
      <c r="I320" s="12" t="s">
        <v>27</v>
      </c>
      <c r="J320" s="12" t="s">
        <v>96</v>
      </c>
      <c r="K320" s="12" t="s">
        <v>29</v>
      </c>
      <c r="L320" s="12" t="s">
        <v>2</v>
      </c>
      <c r="M320" s="12" t="s">
        <v>2</v>
      </c>
      <c r="N320" s="12" t="s">
        <v>107</v>
      </c>
      <c r="O320" s="12" t="s">
        <v>99</v>
      </c>
      <c r="P320" s="12" t="s">
        <v>101</v>
      </c>
      <c r="Q320" s="12" t="s">
        <v>118</v>
      </c>
      <c r="R320" s="12" t="s">
        <v>164</v>
      </c>
      <c r="S320" s="18">
        <f>_xlfn.XLOOKUP(R320,'Price Assumptions'!E:E,'Price Assumptions'!G:G)</f>
        <v>2.99</v>
      </c>
      <c r="T320" s="18">
        <f t="shared" si="4"/>
        <v>3259616.4458884066</v>
      </c>
      <c r="U320" s="12" t="s">
        <v>30</v>
      </c>
      <c r="V320" s="12" t="s">
        <v>9</v>
      </c>
      <c r="W320" s="19">
        <v>1090172.7243773935</v>
      </c>
    </row>
    <row r="321" spans="3:23" x14ac:dyDescent="0.3">
      <c r="C321" s="12">
        <v>2033</v>
      </c>
      <c r="D321" s="12" t="s">
        <v>73</v>
      </c>
      <c r="E321" s="12" t="s">
        <v>74</v>
      </c>
      <c r="F321" s="12" t="s">
        <v>33</v>
      </c>
      <c r="G321" s="12" t="s">
        <v>34</v>
      </c>
      <c r="H321" s="12" t="s">
        <v>109</v>
      </c>
      <c r="I321" s="12" t="s">
        <v>27</v>
      </c>
      <c r="J321" s="12" t="s">
        <v>96</v>
      </c>
      <c r="K321" s="12" t="s">
        <v>29</v>
      </c>
      <c r="L321" s="12" t="s">
        <v>2</v>
      </c>
      <c r="M321" s="12" t="s">
        <v>2</v>
      </c>
      <c r="N321" s="12" t="s">
        <v>107</v>
      </c>
      <c r="O321" s="12" t="s">
        <v>107</v>
      </c>
      <c r="P321" s="12" t="s">
        <v>108</v>
      </c>
      <c r="Q321" s="12" t="s">
        <v>120</v>
      </c>
      <c r="R321" s="12" t="s">
        <v>165</v>
      </c>
      <c r="S321" s="18">
        <f>_xlfn.XLOOKUP(R321,'Price Assumptions'!E:E,'Price Assumptions'!G:G)</f>
        <v>2.99</v>
      </c>
      <c r="T321" s="18">
        <f t="shared" si="4"/>
        <v>603684.46646604885</v>
      </c>
      <c r="U321" s="12" t="s">
        <v>30</v>
      </c>
      <c r="V321" s="12" t="s">
        <v>9</v>
      </c>
      <c r="W321" s="19">
        <v>201901.15935319357</v>
      </c>
    </row>
    <row r="322" spans="3:23" x14ac:dyDescent="0.3">
      <c r="C322" s="12">
        <v>2033</v>
      </c>
      <c r="D322" s="12" t="s">
        <v>79</v>
      </c>
      <c r="E322" s="12" t="s">
        <v>80</v>
      </c>
      <c r="F322" s="12" t="s">
        <v>33</v>
      </c>
      <c r="G322" s="12" t="s">
        <v>34</v>
      </c>
      <c r="H322" s="12" t="s">
        <v>109</v>
      </c>
      <c r="I322" s="12" t="s">
        <v>27</v>
      </c>
      <c r="J322" s="12" t="s">
        <v>96</v>
      </c>
      <c r="K322" s="12" t="s">
        <v>29</v>
      </c>
      <c r="L322" s="12" t="s">
        <v>2</v>
      </c>
      <c r="M322" s="12" t="s">
        <v>2</v>
      </c>
      <c r="N322" s="12" t="s">
        <v>103</v>
      </c>
      <c r="O322" s="12" t="s">
        <v>103</v>
      </c>
      <c r="P322" s="12" t="s">
        <v>101</v>
      </c>
      <c r="Q322" s="12" t="s">
        <v>118</v>
      </c>
      <c r="R322" s="12" t="s">
        <v>164</v>
      </c>
      <c r="S322" s="18">
        <f>_xlfn.XLOOKUP(R322,'Price Assumptions'!E:E,'Price Assumptions'!G:G)</f>
        <v>2.99</v>
      </c>
      <c r="T322" s="18">
        <f t="shared" si="4"/>
        <v>39492469.271209732</v>
      </c>
      <c r="U322" s="12" t="s">
        <v>30</v>
      </c>
      <c r="V322" s="12" t="s">
        <v>9</v>
      </c>
      <c r="W322" s="19">
        <v>13208183.702745728</v>
      </c>
    </row>
    <row r="323" spans="3:23" x14ac:dyDescent="0.3">
      <c r="C323" s="12">
        <v>2033</v>
      </c>
      <c r="D323" s="12" t="s">
        <v>88</v>
      </c>
      <c r="E323" s="12" t="s">
        <v>89</v>
      </c>
      <c r="F323" s="12" t="s">
        <v>33</v>
      </c>
      <c r="G323" s="12" t="s">
        <v>34</v>
      </c>
      <c r="H323" s="12" t="s">
        <v>109</v>
      </c>
      <c r="I323" s="12" t="s">
        <v>27</v>
      </c>
      <c r="J323" s="12" t="s">
        <v>96</v>
      </c>
      <c r="K323" s="12" t="s">
        <v>29</v>
      </c>
      <c r="L323" s="12" t="s">
        <v>2</v>
      </c>
      <c r="M323" s="12" t="s">
        <v>2</v>
      </c>
      <c r="N323" s="12" t="s">
        <v>107</v>
      </c>
      <c r="O323" s="12" t="s">
        <v>107</v>
      </c>
      <c r="P323" s="12" t="s">
        <v>108</v>
      </c>
      <c r="Q323" s="12" t="s">
        <v>120</v>
      </c>
      <c r="R323" s="12" t="s">
        <v>165</v>
      </c>
      <c r="S323" s="18">
        <f>_xlfn.XLOOKUP(R323,'Price Assumptions'!E:E,'Price Assumptions'!G:G)</f>
        <v>2.99</v>
      </c>
      <c r="T323" s="18">
        <f t="shared" si="4"/>
        <v>4717648.3276279783</v>
      </c>
      <c r="U323" s="12" t="s">
        <v>30</v>
      </c>
      <c r="V323" s="12" t="s">
        <v>9</v>
      </c>
      <c r="W323" s="19">
        <v>1577808.8052267483</v>
      </c>
    </row>
    <row r="324" spans="3:23" x14ac:dyDescent="0.3">
      <c r="C324" s="12">
        <v>2033</v>
      </c>
      <c r="D324" s="12" t="s">
        <v>90</v>
      </c>
      <c r="E324" s="12" t="s">
        <v>91</v>
      </c>
      <c r="F324" s="12" t="s">
        <v>33</v>
      </c>
      <c r="G324" s="12" t="s">
        <v>34</v>
      </c>
      <c r="H324" s="12" t="s">
        <v>109</v>
      </c>
      <c r="I324" s="12" t="s">
        <v>27</v>
      </c>
      <c r="J324" s="12" t="s">
        <v>96</v>
      </c>
      <c r="K324" s="12" t="s">
        <v>29</v>
      </c>
      <c r="L324" s="12" t="s">
        <v>2</v>
      </c>
      <c r="M324" s="12" t="s">
        <v>2</v>
      </c>
      <c r="N324" s="12" t="s">
        <v>107</v>
      </c>
      <c r="O324" s="12" t="s">
        <v>107</v>
      </c>
      <c r="P324" s="12" t="s">
        <v>108</v>
      </c>
      <c r="Q324" s="12" t="s">
        <v>118</v>
      </c>
      <c r="R324" s="12" t="s">
        <v>164</v>
      </c>
      <c r="S324" s="18">
        <f>_xlfn.XLOOKUP(R324,'Price Assumptions'!E:E,'Price Assumptions'!G:G)</f>
        <v>2.99</v>
      </c>
      <c r="T324" s="18">
        <f t="shared" si="4"/>
        <v>2366627.0095888153</v>
      </c>
      <c r="U324" s="12" t="s">
        <v>30</v>
      </c>
      <c r="V324" s="12" t="s">
        <v>9</v>
      </c>
      <c r="W324" s="19">
        <v>791514.05002970411</v>
      </c>
    </row>
    <row r="325" spans="3:23" x14ac:dyDescent="0.3">
      <c r="C325" s="12">
        <v>2033</v>
      </c>
      <c r="D325" s="12" t="s">
        <v>92</v>
      </c>
      <c r="E325" s="12" t="s">
        <v>93</v>
      </c>
      <c r="F325" s="12" t="s">
        <v>33</v>
      </c>
      <c r="G325" s="12" t="s">
        <v>34</v>
      </c>
      <c r="H325" s="12" t="s">
        <v>109</v>
      </c>
      <c r="I325" s="12" t="s">
        <v>27</v>
      </c>
      <c r="J325" s="12" t="s">
        <v>96</v>
      </c>
      <c r="K325" s="12" t="s">
        <v>29</v>
      </c>
      <c r="L325" s="12" t="s">
        <v>2</v>
      </c>
      <c r="M325" s="12" t="s">
        <v>2</v>
      </c>
      <c r="N325" s="12" t="s">
        <v>107</v>
      </c>
      <c r="O325" s="12" t="s">
        <v>107</v>
      </c>
      <c r="P325" s="12" t="s">
        <v>108</v>
      </c>
      <c r="Q325" s="12" t="s">
        <v>118</v>
      </c>
      <c r="R325" s="12" t="s">
        <v>164</v>
      </c>
      <c r="S325" s="18">
        <f>_xlfn.XLOOKUP(R325,'Price Assumptions'!E:E,'Price Assumptions'!G:G)</f>
        <v>2.99</v>
      </c>
      <c r="T325" s="18">
        <f t="shared" si="4"/>
        <v>13427908.168531926</v>
      </c>
      <c r="U325" s="12" t="s">
        <v>30</v>
      </c>
      <c r="V325" s="12" t="s">
        <v>9</v>
      </c>
      <c r="W325" s="19">
        <v>4490939.1867999751</v>
      </c>
    </row>
    <row r="326" spans="3:23" x14ac:dyDescent="0.3">
      <c r="C326" s="12">
        <v>2033</v>
      </c>
      <c r="D326" s="12" t="s">
        <v>94</v>
      </c>
      <c r="E326" s="12" t="s">
        <v>95</v>
      </c>
      <c r="F326" s="12" t="s">
        <v>33</v>
      </c>
      <c r="G326" s="12" t="s">
        <v>34</v>
      </c>
      <c r="H326" s="12" t="s">
        <v>109</v>
      </c>
      <c r="I326" s="12" t="s">
        <v>27</v>
      </c>
      <c r="J326" s="12" t="s">
        <v>96</v>
      </c>
      <c r="K326" s="12" t="s">
        <v>29</v>
      </c>
      <c r="L326" s="12" t="s">
        <v>2</v>
      </c>
      <c r="M326" s="12" t="s">
        <v>2</v>
      </c>
      <c r="N326" s="12" t="s">
        <v>107</v>
      </c>
      <c r="O326" s="12" t="s">
        <v>107</v>
      </c>
      <c r="P326" s="12" t="s">
        <v>108</v>
      </c>
      <c r="Q326" s="12" t="s">
        <v>118</v>
      </c>
      <c r="R326" s="12" t="s">
        <v>164</v>
      </c>
      <c r="S326" s="18">
        <f>_xlfn.XLOOKUP(R326,'Price Assumptions'!E:E,'Price Assumptions'!G:G)</f>
        <v>2.99</v>
      </c>
      <c r="T326" s="18">
        <f t="shared" ref="T326:T366" si="5">S326*W326</f>
        <v>3165962.1382269925</v>
      </c>
      <c r="U326" s="12" t="s">
        <v>30</v>
      </c>
      <c r="V326" s="12" t="s">
        <v>9</v>
      </c>
      <c r="W326" s="19">
        <v>1058850.2134538435</v>
      </c>
    </row>
    <row r="327" spans="3:23" x14ac:dyDescent="0.3">
      <c r="C327" s="12">
        <v>2034</v>
      </c>
      <c r="D327" s="12" t="s">
        <v>31</v>
      </c>
      <c r="E327" s="12" t="s">
        <v>32</v>
      </c>
      <c r="F327" s="12" t="s">
        <v>33</v>
      </c>
      <c r="G327" s="12" t="s">
        <v>34</v>
      </c>
      <c r="H327" s="12" t="s">
        <v>109</v>
      </c>
      <c r="I327" s="12" t="s">
        <v>27</v>
      </c>
      <c r="J327" s="12" t="s">
        <v>96</v>
      </c>
      <c r="K327" s="12" t="s">
        <v>29</v>
      </c>
      <c r="L327" s="12" t="s">
        <v>2</v>
      </c>
      <c r="M327" s="12" t="s">
        <v>2</v>
      </c>
      <c r="N327" s="12" t="s">
        <v>107</v>
      </c>
      <c r="O327" s="12" t="s">
        <v>107</v>
      </c>
      <c r="P327" s="12" t="s">
        <v>108</v>
      </c>
      <c r="Q327" s="12" t="s">
        <v>120</v>
      </c>
      <c r="R327" s="12" t="s">
        <v>168</v>
      </c>
      <c r="S327" s="18">
        <f>_xlfn.XLOOKUP(R327,'Price Assumptions'!E:E,'Price Assumptions'!G:G)</f>
        <v>2.99</v>
      </c>
      <c r="T327" s="18">
        <f t="shared" si="5"/>
        <v>6799894.1769568091</v>
      </c>
      <c r="U327" s="12" t="s">
        <v>30</v>
      </c>
      <c r="V327" s="12" t="s">
        <v>9</v>
      </c>
      <c r="W327" s="19">
        <v>2274212.0993166585</v>
      </c>
    </row>
    <row r="328" spans="3:23" x14ac:dyDescent="0.3">
      <c r="C328" s="12">
        <v>2034</v>
      </c>
      <c r="D328" s="12" t="s">
        <v>35</v>
      </c>
      <c r="E328" s="12" t="s">
        <v>36</v>
      </c>
      <c r="F328" s="12" t="s">
        <v>33</v>
      </c>
      <c r="G328" s="12" t="s">
        <v>34</v>
      </c>
      <c r="H328" s="12" t="s">
        <v>109</v>
      </c>
      <c r="I328" s="12" t="s">
        <v>27</v>
      </c>
      <c r="J328" s="12" t="s">
        <v>96</v>
      </c>
      <c r="K328" s="12" t="s">
        <v>29</v>
      </c>
      <c r="L328" s="12" t="s">
        <v>2</v>
      </c>
      <c r="M328" s="12" t="s">
        <v>2</v>
      </c>
      <c r="N328" s="12" t="s">
        <v>104</v>
      </c>
      <c r="O328" s="12" t="s">
        <v>104</v>
      </c>
      <c r="P328" s="12" t="s">
        <v>100</v>
      </c>
      <c r="Q328" s="12" t="s">
        <v>100</v>
      </c>
      <c r="R328" s="12" t="s">
        <v>166</v>
      </c>
      <c r="S328" s="18">
        <f>_xlfn.XLOOKUP(R328,'Price Assumptions'!E:E,'Price Assumptions'!G:G)</f>
        <v>5</v>
      </c>
      <c r="T328" s="18">
        <f t="shared" si="5"/>
        <v>4846405.7567032259</v>
      </c>
      <c r="U328" s="12" t="s">
        <v>30</v>
      </c>
      <c r="V328" s="12" t="s">
        <v>9</v>
      </c>
      <c r="W328" s="19">
        <v>969281.15134064527</v>
      </c>
    </row>
    <row r="329" spans="3:23" x14ac:dyDescent="0.3">
      <c r="C329" s="12">
        <v>2034</v>
      </c>
      <c r="D329" s="12" t="s">
        <v>37</v>
      </c>
      <c r="E329" s="12" t="s">
        <v>38</v>
      </c>
      <c r="F329" s="12" t="s">
        <v>33</v>
      </c>
      <c r="G329" s="12" t="s">
        <v>34</v>
      </c>
      <c r="H329" s="12" t="s">
        <v>109</v>
      </c>
      <c r="I329" s="12" t="s">
        <v>27</v>
      </c>
      <c r="J329" s="12" t="s">
        <v>28</v>
      </c>
      <c r="K329" s="12" t="s">
        <v>29</v>
      </c>
      <c r="L329" s="12" t="s">
        <v>2</v>
      </c>
      <c r="M329" s="12" t="s">
        <v>2</v>
      </c>
      <c r="N329" s="12" t="s">
        <v>107</v>
      </c>
      <c r="O329" s="12" t="s">
        <v>99</v>
      </c>
      <c r="P329" s="12" t="s">
        <v>101</v>
      </c>
      <c r="Q329" s="12" t="s">
        <v>118</v>
      </c>
      <c r="R329" s="12" t="s">
        <v>167</v>
      </c>
      <c r="S329" s="18">
        <f>_xlfn.XLOOKUP(R329,'Price Assumptions'!E:E,'Price Assumptions'!G:G)</f>
        <v>2.99</v>
      </c>
      <c r="T329" s="18">
        <f t="shared" si="5"/>
        <v>6916552.2147808606</v>
      </c>
      <c r="U329" s="12" t="s">
        <v>30</v>
      </c>
      <c r="V329" s="12" t="s">
        <v>9</v>
      </c>
      <c r="W329" s="19">
        <v>2313228.1654785485</v>
      </c>
    </row>
    <row r="330" spans="3:23" x14ac:dyDescent="0.3">
      <c r="C330" s="12">
        <v>2034</v>
      </c>
      <c r="D330" s="12" t="s">
        <v>41</v>
      </c>
      <c r="E330" s="12" t="s">
        <v>42</v>
      </c>
      <c r="F330" s="12" t="s">
        <v>33</v>
      </c>
      <c r="G330" s="12" t="s">
        <v>34</v>
      </c>
      <c r="H330" s="12" t="s">
        <v>109</v>
      </c>
      <c r="I330" s="12" t="s">
        <v>27</v>
      </c>
      <c r="J330" s="12" t="s">
        <v>96</v>
      </c>
      <c r="K330" s="12" t="s">
        <v>29</v>
      </c>
      <c r="L330" s="12" t="s">
        <v>2</v>
      </c>
      <c r="M330" s="12" t="s">
        <v>2</v>
      </c>
      <c r="N330" s="12" t="s">
        <v>107</v>
      </c>
      <c r="O330" s="12" t="s">
        <v>99</v>
      </c>
      <c r="P330" s="12" t="s">
        <v>101</v>
      </c>
      <c r="Q330" s="12" t="s">
        <v>118</v>
      </c>
      <c r="R330" s="12" t="s">
        <v>167</v>
      </c>
      <c r="S330" s="18">
        <f>_xlfn.XLOOKUP(R330,'Price Assumptions'!E:E,'Price Assumptions'!G:G)</f>
        <v>2.99</v>
      </c>
      <c r="T330" s="18">
        <f t="shared" si="5"/>
        <v>5812271.7131717363</v>
      </c>
      <c r="U330" s="12" t="s">
        <v>30</v>
      </c>
      <c r="V330" s="12" t="s">
        <v>9</v>
      </c>
      <c r="W330" s="19">
        <v>1943903.5830005805</v>
      </c>
    </row>
    <row r="331" spans="3:23" x14ac:dyDescent="0.3">
      <c r="C331" s="12">
        <v>2034</v>
      </c>
      <c r="D331" s="12" t="s">
        <v>47</v>
      </c>
      <c r="E331" s="12" t="s">
        <v>48</v>
      </c>
      <c r="F331" s="12" t="s">
        <v>33</v>
      </c>
      <c r="G331" s="12" t="s">
        <v>34</v>
      </c>
      <c r="H331" s="12" t="s">
        <v>109</v>
      </c>
      <c r="I331" s="12" t="s">
        <v>27</v>
      </c>
      <c r="J331" s="12" t="s">
        <v>112</v>
      </c>
      <c r="K331" s="12" t="s">
        <v>113</v>
      </c>
      <c r="L331" s="12" t="s">
        <v>2</v>
      </c>
      <c r="M331" s="12" t="s">
        <v>2</v>
      </c>
      <c r="N331" s="12" t="s">
        <v>107</v>
      </c>
      <c r="O331" s="12" t="s">
        <v>107</v>
      </c>
      <c r="P331" s="12" t="s">
        <v>108</v>
      </c>
      <c r="Q331" s="12" t="s">
        <v>120</v>
      </c>
      <c r="R331" s="12" t="s">
        <v>168</v>
      </c>
      <c r="S331" s="18">
        <f>_xlfn.XLOOKUP(R331,'Price Assumptions'!E:E,'Price Assumptions'!G:G)</f>
        <v>2.99</v>
      </c>
      <c r="T331" s="18">
        <f t="shared" si="5"/>
        <v>1322439.234176618</v>
      </c>
      <c r="U331" s="12" t="s">
        <v>30</v>
      </c>
      <c r="V331" s="12" t="s">
        <v>9</v>
      </c>
      <c r="W331" s="19">
        <v>442287.36928983877</v>
      </c>
    </row>
    <row r="332" spans="3:23" x14ac:dyDescent="0.3">
      <c r="C332" s="12">
        <v>2034</v>
      </c>
      <c r="D332" s="12" t="s">
        <v>49</v>
      </c>
      <c r="E332" s="12" t="s">
        <v>50</v>
      </c>
      <c r="F332" s="12" t="s">
        <v>33</v>
      </c>
      <c r="G332" s="12" t="s">
        <v>34</v>
      </c>
      <c r="H332" s="12" t="s">
        <v>109</v>
      </c>
      <c r="I332" s="12" t="s">
        <v>27</v>
      </c>
      <c r="J332" s="12" t="s">
        <v>112</v>
      </c>
      <c r="K332" s="12" t="s">
        <v>113</v>
      </c>
      <c r="L332" s="12" t="s">
        <v>2</v>
      </c>
      <c r="M332" s="12" t="s">
        <v>2</v>
      </c>
      <c r="N332" s="12" t="s">
        <v>105</v>
      </c>
      <c r="O332" s="12" t="s">
        <v>105</v>
      </c>
      <c r="P332" s="12" t="s">
        <v>101</v>
      </c>
      <c r="Q332" s="12" t="s">
        <v>118</v>
      </c>
      <c r="R332" s="12" t="s">
        <v>167</v>
      </c>
      <c r="S332" s="18">
        <f>_xlfn.XLOOKUP(R332,'Price Assumptions'!E:E,'Price Assumptions'!G:G)</f>
        <v>2.99</v>
      </c>
      <c r="T332" s="18">
        <f t="shared" si="5"/>
        <v>8306069.0365932109</v>
      </c>
      <c r="U332" s="12" t="s">
        <v>30</v>
      </c>
      <c r="V332" s="12" t="s">
        <v>9</v>
      </c>
      <c r="W332" s="19">
        <v>2777949.5105662909</v>
      </c>
    </row>
    <row r="333" spans="3:23" x14ac:dyDescent="0.3">
      <c r="C333" s="12">
        <v>2034</v>
      </c>
      <c r="D333" s="12" t="s">
        <v>53</v>
      </c>
      <c r="E333" s="12" t="s">
        <v>54</v>
      </c>
      <c r="F333" s="12" t="s">
        <v>33</v>
      </c>
      <c r="G333" s="12" t="s">
        <v>34</v>
      </c>
      <c r="H333" s="12" t="s">
        <v>109</v>
      </c>
      <c r="I333" s="12" t="s">
        <v>27</v>
      </c>
      <c r="J333" s="12" t="s">
        <v>96</v>
      </c>
      <c r="K333" s="12" t="s">
        <v>29</v>
      </c>
      <c r="L333" s="12" t="s">
        <v>2</v>
      </c>
      <c r="M333" s="12" t="s">
        <v>2</v>
      </c>
      <c r="N333" s="12" t="s">
        <v>107</v>
      </c>
      <c r="O333" s="12" t="s">
        <v>107</v>
      </c>
      <c r="P333" s="12" t="s">
        <v>108</v>
      </c>
      <c r="Q333" s="12" t="s">
        <v>118</v>
      </c>
      <c r="R333" s="12" t="s">
        <v>167</v>
      </c>
      <c r="S333" s="18">
        <f>_xlfn.XLOOKUP(R333,'Price Assumptions'!E:E,'Price Assumptions'!G:G)</f>
        <v>2.99</v>
      </c>
      <c r="T333" s="18">
        <f t="shared" si="5"/>
        <v>15155728.795901097</v>
      </c>
      <c r="U333" s="12" t="s">
        <v>30</v>
      </c>
      <c r="V333" s="12" t="s">
        <v>9</v>
      </c>
      <c r="W333" s="19">
        <v>5068805.6173582263</v>
      </c>
    </row>
    <row r="334" spans="3:23" x14ac:dyDescent="0.3">
      <c r="C334" s="12">
        <v>2034</v>
      </c>
      <c r="D334" s="12" t="s">
        <v>57</v>
      </c>
      <c r="E334" s="12" t="s">
        <v>58</v>
      </c>
      <c r="F334" s="12" t="s">
        <v>33</v>
      </c>
      <c r="G334" s="12" t="s">
        <v>34</v>
      </c>
      <c r="H334" s="12" t="s">
        <v>109</v>
      </c>
      <c r="I334" s="12" t="s">
        <v>27</v>
      </c>
      <c r="J334" s="12" t="s">
        <v>112</v>
      </c>
      <c r="K334" s="12" t="s">
        <v>113</v>
      </c>
      <c r="L334" s="12" t="s">
        <v>2</v>
      </c>
      <c r="M334" s="12" t="s">
        <v>2</v>
      </c>
      <c r="N334" s="12" t="s">
        <v>99</v>
      </c>
      <c r="O334" s="12" t="s">
        <v>99</v>
      </c>
      <c r="P334" s="12" t="s">
        <v>101</v>
      </c>
      <c r="Q334" s="12" t="s">
        <v>118</v>
      </c>
      <c r="R334" s="12" t="s">
        <v>167</v>
      </c>
      <c r="S334" s="18">
        <f>_xlfn.XLOOKUP(R334,'Price Assumptions'!E:E,'Price Assumptions'!G:G)</f>
        <v>2.99</v>
      </c>
      <c r="T334" s="18">
        <f t="shared" si="5"/>
        <v>7197549.0641993871</v>
      </c>
      <c r="U334" s="12" t="s">
        <v>30</v>
      </c>
      <c r="V334" s="12" t="s">
        <v>9</v>
      </c>
      <c r="W334" s="19">
        <v>2407207.044882738</v>
      </c>
    </row>
    <row r="335" spans="3:23" x14ac:dyDescent="0.3">
      <c r="C335" s="12">
        <v>2034</v>
      </c>
      <c r="D335" s="12" t="s">
        <v>59</v>
      </c>
      <c r="E335" s="12" t="s">
        <v>60</v>
      </c>
      <c r="F335" s="12" t="s">
        <v>33</v>
      </c>
      <c r="G335" s="12" t="s">
        <v>34</v>
      </c>
      <c r="H335" s="12" t="s">
        <v>109</v>
      </c>
      <c r="I335" s="12" t="s">
        <v>27</v>
      </c>
      <c r="J335" s="12" t="s">
        <v>110</v>
      </c>
      <c r="K335" s="12" t="s">
        <v>111</v>
      </c>
      <c r="L335" s="12" t="s">
        <v>2</v>
      </c>
      <c r="M335" s="12" t="s">
        <v>2</v>
      </c>
      <c r="N335" s="12" t="s">
        <v>107</v>
      </c>
      <c r="O335" s="12" t="s">
        <v>107</v>
      </c>
      <c r="P335" s="12" t="s">
        <v>108</v>
      </c>
      <c r="Q335" s="12" t="s">
        <v>100</v>
      </c>
      <c r="R335" s="12" t="s">
        <v>166</v>
      </c>
      <c r="S335" s="18">
        <f>_xlfn.XLOOKUP(R335,'Price Assumptions'!E:E,'Price Assumptions'!G:G)</f>
        <v>5</v>
      </c>
      <c r="T335" s="18">
        <f t="shared" si="5"/>
        <v>2685347.7335717739</v>
      </c>
      <c r="U335" s="12" t="s">
        <v>30</v>
      </c>
      <c r="V335" s="12" t="s">
        <v>9</v>
      </c>
      <c r="W335" s="19">
        <v>537069.54671435477</v>
      </c>
    </row>
    <row r="336" spans="3:23" x14ac:dyDescent="0.3">
      <c r="C336" s="12">
        <v>2034</v>
      </c>
      <c r="D336" s="12" t="s">
        <v>61</v>
      </c>
      <c r="E336" s="12" t="s">
        <v>62</v>
      </c>
      <c r="F336" s="12" t="s">
        <v>33</v>
      </c>
      <c r="G336" s="12" t="s">
        <v>34</v>
      </c>
      <c r="H336" s="12" t="s">
        <v>109</v>
      </c>
      <c r="I336" s="12" t="s">
        <v>27</v>
      </c>
      <c r="J336" s="12" t="s">
        <v>28</v>
      </c>
      <c r="K336" s="12" t="s">
        <v>29</v>
      </c>
      <c r="L336" s="12" t="s">
        <v>2</v>
      </c>
      <c r="M336" s="12" t="s">
        <v>2</v>
      </c>
      <c r="N336" s="12" t="s">
        <v>107</v>
      </c>
      <c r="O336" s="12" t="s">
        <v>107</v>
      </c>
      <c r="P336" s="12" t="s">
        <v>108</v>
      </c>
      <c r="Q336" s="12" t="s">
        <v>100</v>
      </c>
      <c r="R336" s="12" t="s">
        <v>166</v>
      </c>
      <c r="S336" s="18">
        <f>_xlfn.XLOOKUP(R336,'Price Assumptions'!E:E,'Price Assumptions'!G:G)</f>
        <v>5</v>
      </c>
      <c r="T336" s="18">
        <f t="shared" si="5"/>
        <v>153386.13297244624</v>
      </c>
      <c r="U336" s="12" t="s">
        <v>30</v>
      </c>
      <c r="V336" s="12" t="s">
        <v>9</v>
      </c>
      <c r="W336" s="19">
        <v>30677.226594489246</v>
      </c>
    </row>
    <row r="337" spans="3:23" x14ac:dyDescent="0.3">
      <c r="C337" s="12">
        <v>2034</v>
      </c>
      <c r="D337" s="12" t="s">
        <v>63</v>
      </c>
      <c r="E337" s="12" t="s">
        <v>64</v>
      </c>
      <c r="F337" s="12" t="s">
        <v>33</v>
      </c>
      <c r="G337" s="12" t="s">
        <v>34</v>
      </c>
      <c r="H337" s="12" t="s">
        <v>109</v>
      </c>
      <c r="I337" s="12" t="s">
        <v>27</v>
      </c>
      <c r="J337" s="12" t="s">
        <v>96</v>
      </c>
      <c r="K337" s="12" t="s">
        <v>29</v>
      </c>
      <c r="L337" s="12" t="s">
        <v>2</v>
      </c>
      <c r="M337" s="12" t="s">
        <v>2</v>
      </c>
      <c r="N337" s="12" t="s">
        <v>107</v>
      </c>
      <c r="O337" s="12" t="s">
        <v>99</v>
      </c>
      <c r="P337" s="12" t="s">
        <v>101</v>
      </c>
      <c r="Q337" s="12" t="s">
        <v>118</v>
      </c>
      <c r="R337" s="12" t="s">
        <v>167</v>
      </c>
      <c r="S337" s="18">
        <f>_xlfn.XLOOKUP(R337,'Price Assumptions'!E:E,'Price Assumptions'!G:G)</f>
        <v>2.99</v>
      </c>
      <c r="T337" s="18">
        <f t="shared" si="5"/>
        <v>3271116.5171512989</v>
      </c>
      <c r="U337" s="12" t="s">
        <v>30</v>
      </c>
      <c r="V337" s="12" t="s">
        <v>9</v>
      </c>
      <c r="W337" s="19">
        <v>1094018.9020572905</v>
      </c>
    </row>
    <row r="338" spans="3:23" x14ac:dyDescent="0.3">
      <c r="C338" s="12">
        <v>2034</v>
      </c>
      <c r="D338" s="12" t="s">
        <v>73</v>
      </c>
      <c r="E338" s="12" t="s">
        <v>74</v>
      </c>
      <c r="F338" s="12" t="s">
        <v>33</v>
      </c>
      <c r="G338" s="12" t="s">
        <v>34</v>
      </c>
      <c r="H338" s="12" t="s">
        <v>109</v>
      </c>
      <c r="I338" s="12" t="s">
        <v>27</v>
      </c>
      <c r="J338" s="12" t="s">
        <v>96</v>
      </c>
      <c r="K338" s="12" t="s">
        <v>29</v>
      </c>
      <c r="L338" s="12" t="s">
        <v>2</v>
      </c>
      <c r="M338" s="12" t="s">
        <v>2</v>
      </c>
      <c r="N338" s="12" t="s">
        <v>107</v>
      </c>
      <c r="O338" s="12" t="s">
        <v>107</v>
      </c>
      <c r="P338" s="12" t="s">
        <v>108</v>
      </c>
      <c r="Q338" s="12" t="s">
        <v>120</v>
      </c>
      <c r="R338" s="12" t="s">
        <v>168</v>
      </c>
      <c r="S338" s="18">
        <f>_xlfn.XLOOKUP(R338,'Price Assumptions'!E:E,'Price Assumptions'!G:G)</f>
        <v>2.99</v>
      </c>
      <c r="T338" s="18">
        <f t="shared" si="5"/>
        <v>610311.41012539656</v>
      </c>
      <c r="U338" s="12" t="s">
        <v>30</v>
      </c>
      <c r="V338" s="12" t="s">
        <v>9</v>
      </c>
      <c r="W338" s="19">
        <v>204117.52847003227</v>
      </c>
    </row>
    <row r="339" spans="3:23" x14ac:dyDescent="0.3">
      <c r="C339" s="12">
        <v>2034</v>
      </c>
      <c r="D339" s="12" t="s">
        <v>79</v>
      </c>
      <c r="E339" s="12" t="s">
        <v>80</v>
      </c>
      <c r="F339" s="12" t="s">
        <v>33</v>
      </c>
      <c r="G339" s="12" t="s">
        <v>34</v>
      </c>
      <c r="H339" s="12" t="s">
        <v>109</v>
      </c>
      <c r="I339" s="12" t="s">
        <v>27</v>
      </c>
      <c r="J339" s="12" t="s">
        <v>96</v>
      </c>
      <c r="K339" s="12" t="s">
        <v>29</v>
      </c>
      <c r="L339" s="12" t="s">
        <v>2</v>
      </c>
      <c r="M339" s="12" t="s">
        <v>2</v>
      </c>
      <c r="N339" s="12" t="s">
        <v>103</v>
      </c>
      <c r="O339" s="12" t="s">
        <v>103</v>
      </c>
      <c r="P339" s="12" t="s">
        <v>101</v>
      </c>
      <c r="Q339" s="12" t="s">
        <v>118</v>
      </c>
      <c r="R339" s="12" t="s">
        <v>167</v>
      </c>
      <c r="S339" s="18">
        <f>_xlfn.XLOOKUP(R339,'Price Assumptions'!E:E,'Price Assumptions'!G:G)</f>
        <v>2.99</v>
      </c>
      <c r="T339" s="18">
        <f t="shared" si="5"/>
        <v>40195261.267567597</v>
      </c>
      <c r="U339" s="12" t="s">
        <v>30</v>
      </c>
      <c r="V339" s="12" t="s">
        <v>9</v>
      </c>
      <c r="W339" s="19">
        <v>13443231.19316642</v>
      </c>
    </row>
    <row r="340" spans="3:23" x14ac:dyDescent="0.3">
      <c r="C340" s="12">
        <v>2034</v>
      </c>
      <c r="D340" s="12" t="s">
        <v>88</v>
      </c>
      <c r="E340" s="12" t="s">
        <v>89</v>
      </c>
      <c r="F340" s="12" t="s">
        <v>33</v>
      </c>
      <c r="G340" s="12" t="s">
        <v>34</v>
      </c>
      <c r="H340" s="12" t="s">
        <v>109</v>
      </c>
      <c r="I340" s="12" t="s">
        <v>27</v>
      </c>
      <c r="J340" s="12" t="s">
        <v>96</v>
      </c>
      <c r="K340" s="12" t="s">
        <v>29</v>
      </c>
      <c r="L340" s="12" t="s">
        <v>2</v>
      </c>
      <c r="M340" s="12" t="s">
        <v>2</v>
      </c>
      <c r="N340" s="12" t="s">
        <v>107</v>
      </c>
      <c r="O340" s="12" t="s">
        <v>107</v>
      </c>
      <c r="P340" s="12" t="s">
        <v>108</v>
      </c>
      <c r="Q340" s="12" t="s">
        <v>120</v>
      </c>
      <c r="R340" s="12" t="s">
        <v>168</v>
      </c>
      <c r="S340" s="18">
        <f>_xlfn.XLOOKUP(R340,'Price Assumptions'!E:E,'Price Assumptions'!G:G)</f>
        <v>2.99</v>
      </c>
      <c r="T340" s="18">
        <f t="shared" si="5"/>
        <v>4794844.7823954104</v>
      </c>
      <c r="U340" s="12" t="s">
        <v>30</v>
      </c>
      <c r="V340" s="12" t="s">
        <v>9</v>
      </c>
      <c r="W340" s="19">
        <v>1603627.0175235486</v>
      </c>
    </row>
    <row r="341" spans="3:23" x14ac:dyDescent="0.3">
      <c r="C341" s="12">
        <v>2034</v>
      </c>
      <c r="D341" s="12" t="s">
        <v>90</v>
      </c>
      <c r="E341" s="12" t="s">
        <v>91</v>
      </c>
      <c r="F341" s="12" t="s">
        <v>33</v>
      </c>
      <c r="G341" s="12" t="s">
        <v>34</v>
      </c>
      <c r="H341" s="12" t="s">
        <v>109</v>
      </c>
      <c r="I341" s="12" t="s">
        <v>27</v>
      </c>
      <c r="J341" s="12" t="s">
        <v>96</v>
      </c>
      <c r="K341" s="12" t="s">
        <v>29</v>
      </c>
      <c r="L341" s="12" t="s">
        <v>2</v>
      </c>
      <c r="M341" s="12" t="s">
        <v>2</v>
      </c>
      <c r="N341" s="12" t="s">
        <v>107</v>
      </c>
      <c r="O341" s="12" t="s">
        <v>107</v>
      </c>
      <c r="P341" s="12" t="s">
        <v>108</v>
      </c>
      <c r="Q341" s="12" t="s">
        <v>118</v>
      </c>
      <c r="R341" s="12" t="s">
        <v>167</v>
      </c>
      <c r="S341" s="18">
        <f>_xlfn.XLOOKUP(R341,'Price Assumptions'!E:E,'Price Assumptions'!G:G)</f>
        <v>2.99</v>
      </c>
      <c r="T341" s="18">
        <f t="shared" si="5"/>
        <v>2423623.257506324</v>
      </c>
      <c r="U341" s="12" t="s">
        <v>30</v>
      </c>
      <c r="V341" s="12" t="s">
        <v>9</v>
      </c>
      <c r="W341" s="19">
        <v>810576.34030311834</v>
      </c>
    </row>
    <row r="342" spans="3:23" x14ac:dyDescent="0.3">
      <c r="C342" s="12">
        <v>2034</v>
      </c>
      <c r="D342" s="12" t="s">
        <v>92</v>
      </c>
      <c r="E342" s="12" t="s">
        <v>93</v>
      </c>
      <c r="F342" s="12" t="s">
        <v>33</v>
      </c>
      <c r="G342" s="12" t="s">
        <v>34</v>
      </c>
      <c r="H342" s="12" t="s">
        <v>109</v>
      </c>
      <c r="I342" s="12" t="s">
        <v>27</v>
      </c>
      <c r="J342" s="12" t="s">
        <v>96</v>
      </c>
      <c r="K342" s="12" t="s">
        <v>29</v>
      </c>
      <c r="L342" s="12" t="s">
        <v>2</v>
      </c>
      <c r="M342" s="12" t="s">
        <v>2</v>
      </c>
      <c r="N342" s="12" t="s">
        <v>107</v>
      </c>
      <c r="O342" s="12" t="s">
        <v>107</v>
      </c>
      <c r="P342" s="12" t="s">
        <v>108</v>
      </c>
      <c r="Q342" s="12" t="s">
        <v>118</v>
      </c>
      <c r="R342" s="12" t="s">
        <v>167</v>
      </c>
      <c r="S342" s="18">
        <f>_xlfn.XLOOKUP(R342,'Price Assumptions'!E:E,'Price Assumptions'!G:G)</f>
        <v>2.99</v>
      </c>
      <c r="T342" s="18">
        <f t="shared" si="5"/>
        <v>13458992.825457433</v>
      </c>
      <c r="U342" s="12" t="s">
        <v>30</v>
      </c>
      <c r="V342" s="12" t="s">
        <v>9</v>
      </c>
      <c r="W342" s="19">
        <v>4501335.393129576</v>
      </c>
    </row>
    <row r="343" spans="3:23" x14ac:dyDescent="0.3">
      <c r="C343" s="12">
        <v>2034</v>
      </c>
      <c r="D343" s="12" t="s">
        <v>94</v>
      </c>
      <c r="E343" s="12" t="s">
        <v>95</v>
      </c>
      <c r="F343" s="12" t="s">
        <v>33</v>
      </c>
      <c r="G343" s="12" t="s">
        <v>34</v>
      </c>
      <c r="H343" s="12" t="s">
        <v>109</v>
      </c>
      <c r="I343" s="12" t="s">
        <v>27</v>
      </c>
      <c r="J343" s="12" t="s">
        <v>96</v>
      </c>
      <c r="K343" s="12" t="s">
        <v>29</v>
      </c>
      <c r="L343" s="12" t="s">
        <v>2</v>
      </c>
      <c r="M343" s="12" t="s">
        <v>2</v>
      </c>
      <c r="N343" s="12" t="s">
        <v>107</v>
      </c>
      <c r="O343" s="12" t="s">
        <v>107</v>
      </c>
      <c r="P343" s="12" t="s">
        <v>108</v>
      </c>
      <c r="Q343" s="12" t="s">
        <v>118</v>
      </c>
      <c r="R343" s="12" t="s">
        <v>167</v>
      </c>
      <c r="S343" s="18">
        <f>_xlfn.XLOOKUP(R343,'Price Assumptions'!E:E,'Price Assumptions'!G:G)</f>
        <v>2.99</v>
      </c>
      <c r="T343" s="18">
        <f t="shared" si="5"/>
        <v>3198139.3979280582</v>
      </c>
      <c r="U343" s="12" t="s">
        <v>30</v>
      </c>
      <c r="V343" s="12" t="s">
        <v>9</v>
      </c>
      <c r="W343" s="19">
        <v>1069611.8387719258</v>
      </c>
    </row>
    <row r="344" spans="3:23" x14ac:dyDescent="0.3">
      <c r="C344" s="12">
        <v>2035</v>
      </c>
      <c r="D344" s="12" t="s">
        <v>31</v>
      </c>
      <c r="E344" s="12" t="s">
        <v>32</v>
      </c>
      <c r="F344" s="12" t="s">
        <v>33</v>
      </c>
      <c r="G344" s="12" t="s">
        <v>34</v>
      </c>
      <c r="H344" s="12" t="s">
        <v>109</v>
      </c>
      <c r="I344" s="12" t="s">
        <v>27</v>
      </c>
      <c r="J344" s="12" t="s">
        <v>96</v>
      </c>
      <c r="K344" s="12" t="s">
        <v>29</v>
      </c>
      <c r="L344" s="12" t="s">
        <v>2</v>
      </c>
      <c r="M344" s="12" t="s">
        <v>2</v>
      </c>
      <c r="N344" s="12" t="s">
        <v>107</v>
      </c>
      <c r="O344" s="12" t="s">
        <v>107</v>
      </c>
      <c r="P344" s="12" t="s">
        <v>108</v>
      </c>
      <c r="Q344" s="12" t="s">
        <v>120</v>
      </c>
      <c r="R344" s="12" t="s">
        <v>171</v>
      </c>
      <c r="S344" s="18">
        <f>_xlfn.XLOOKUP(R344,'Price Assumptions'!E:E,'Price Assumptions'!G:G)</f>
        <v>2.99</v>
      </c>
      <c r="T344" s="18">
        <f t="shared" si="5"/>
        <v>7006860.1211668178</v>
      </c>
      <c r="U344" s="12" t="s">
        <v>30</v>
      </c>
      <c r="V344" s="12" t="s">
        <v>9</v>
      </c>
      <c r="W344" s="19">
        <v>2343431.4786511096</v>
      </c>
    </row>
    <row r="345" spans="3:23" x14ac:dyDescent="0.3">
      <c r="C345" s="12">
        <v>2035</v>
      </c>
      <c r="D345" s="12" t="s">
        <v>35</v>
      </c>
      <c r="E345" s="12" t="s">
        <v>36</v>
      </c>
      <c r="F345" s="12" t="s">
        <v>33</v>
      </c>
      <c r="G345" s="12" t="s">
        <v>34</v>
      </c>
      <c r="H345" s="12" t="s">
        <v>109</v>
      </c>
      <c r="I345" s="12" t="s">
        <v>27</v>
      </c>
      <c r="J345" s="12" t="s">
        <v>96</v>
      </c>
      <c r="K345" s="12" t="s">
        <v>29</v>
      </c>
      <c r="L345" s="12" t="s">
        <v>2</v>
      </c>
      <c r="M345" s="12" t="s">
        <v>2</v>
      </c>
      <c r="N345" s="12" t="s">
        <v>104</v>
      </c>
      <c r="O345" s="12" t="s">
        <v>104</v>
      </c>
      <c r="P345" s="12" t="s">
        <v>100</v>
      </c>
      <c r="Q345" s="12" t="s">
        <v>100</v>
      </c>
      <c r="R345" s="12" t="s">
        <v>169</v>
      </c>
      <c r="S345" s="18">
        <f>_xlfn.XLOOKUP(R345,'Price Assumptions'!E:E,'Price Assumptions'!G:G)</f>
        <v>5</v>
      </c>
      <c r="T345" s="18">
        <f t="shared" si="5"/>
        <v>4975253.8518666672</v>
      </c>
      <c r="U345" s="12" t="s">
        <v>30</v>
      </c>
      <c r="V345" s="12" t="s">
        <v>9</v>
      </c>
      <c r="W345" s="19">
        <v>995050.77037333336</v>
      </c>
    </row>
    <row r="346" spans="3:23" x14ac:dyDescent="0.3">
      <c r="C346" s="12">
        <v>2035</v>
      </c>
      <c r="D346" s="12" t="s">
        <v>37</v>
      </c>
      <c r="E346" s="12" t="s">
        <v>38</v>
      </c>
      <c r="F346" s="12" t="s">
        <v>33</v>
      </c>
      <c r="G346" s="12" t="s">
        <v>34</v>
      </c>
      <c r="H346" s="12" t="s">
        <v>109</v>
      </c>
      <c r="I346" s="12" t="s">
        <v>27</v>
      </c>
      <c r="J346" s="12" t="s">
        <v>28</v>
      </c>
      <c r="K346" s="12" t="s">
        <v>29</v>
      </c>
      <c r="L346" s="12" t="s">
        <v>2</v>
      </c>
      <c r="M346" s="12" t="s">
        <v>2</v>
      </c>
      <c r="N346" s="12" t="s">
        <v>107</v>
      </c>
      <c r="O346" s="12" t="s">
        <v>99</v>
      </c>
      <c r="P346" s="12" t="s">
        <v>101</v>
      </c>
      <c r="Q346" s="12" t="s">
        <v>118</v>
      </c>
      <c r="R346" s="12" t="s">
        <v>170</v>
      </c>
      <c r="S346" s="18">
        <f>_xlfn.XLOOKUP(R346,'Price Assumptions'!E:E,'Price Assumptions'!G:G)</f>
        <v>2.99</v>
      </c>
      <c r="T346" s="18">
        <f t="shared" si="5"/>
        <v>6952355.0163388215</v>
      </c>
      <c r="U346" s="12" t="s">
        <v>30</v>
      </c>
      <c r="V346" s="12" t="s">
        <v>9</v>
      </c>
      <c r="W346" s="19">
        <v>2325202.3466016124</v>
      </c>
    </row>
    <row r="347" spans="3:23" x14ac:dyDescent="0.3">
      <c r="C347" s="12">
        <v>2035</v>
      </c>
      <c r="D347" s="12" t="s">
        <v>41</v>
      </c>
      <c r="E347" s="12" t="s">
        <v>42</v>
      </c>
      <c r="F347" s="12" t="s">
        <v>33</v>
      </c>
      <c r="G347" s="12" t="s">
        <v>34</v>
      </c>
      <c r="H347" s="12" t="s">
        <v>109</v>
      </c>
      <c r="I347" s="12" t="s">
        <v>27</v>
      </c>
      <c r="J347" s="12" t="s">
        <v>96</v>
      </c>
      <c r="K347" s="12" t="s">
        <v>29</v>
      </c>
      <c r="L347" s="12" t="s">
        <v>2</v>
      </c>
      <c r="M347" s="12" t="s">
        <v>2</v>
      </c>
      <c r="N347" s="12" t="s">
        <v>107</v>
      </c>
      <c r="O347" s="12" t="s">
        <v>99</v>
      </c>
      <c r="P347" s="12" t="s">
        <v>101</v>
      </c>
      <c r="Q347" s="12" t="s">
        <v>118</v>
      </c>
      <c r="R347" s="12" t="s">
        <v>170</v>
      </c>
      <c r="S347" s="18">
        <f>_xlfn.XLOOKUP(R347,'Price Assumptions'!E:E,'Price Assumptions'!G:G)</f>
        <v>2.99</v>
      </c>
      <c r="T347" s="18">
        <f t="shared" si="5"/>
        <v>5947244.3610622864</v>
      </c>
      <c r="U347" s="12" t="s">
        <v>30</v>
      </c>
      <c r="V347" s="12" t="s">
        <v>9</v>
      </c>
      <c r="W347" s="19">
        <v>1989044.9368101291</v>
      </c>
    </row>
    <row r="348" spans="3:23" x14ac:dyDescent="0.3">
      <c r="C348" s="12">
        <v>2035</v>
      </c>
      <c r="D348" s="12" t="s">
        <v>47</v>
      </c>
      <c r="E348" s="12" t="s">
        <v>48</v>
      </c>
      <c r="F348" s="12" t="s">
        <v>33</v>
      </c>
      <c r="G348" s="12" t="s">
        <v>34</v>
      </c>
      <c r="H348" s="12" t="s">
        <v>109</v>
      </c>
      <c r="I348" s="12" t="s">
        <v>27</v>
      </c>
      <c r="J348" s="12" t="s">
        <v>112</v>
      </c>
      <c r="K348" s="12" t="s">
        <v>113</v>
      </c>
      <c r="L348" s="12" t="s">
        <v>2</v>
      </c>
      <c r="M348" s="12" t="s">
        <v>2</v>
      </c>
      <c r="N348" s="12" t="s">
        <v>107</v>
      </c>
      <c r="O348" s="12" t="s">
        <v>107</v>
      </c>
      <c r="P348" s="12" t="s">
        <v>108</v>
      </c>
      <c r="Q348" s="12" t="s">
        <v>120</v>
      </c>
      <c r="R348" s="12" t="s">
        <v>171</v>
      </c>
      <c r="S348" s="18">
        <f>_xlfn.XLOOKUP(R348,'Price Assumptions'!E:E,'Price Assumptions'!G:G)</f>
        <v>2.99</v>
      </c>
      <c r="T348" s="18">
        <f t="shared" si="5"/>
        <v>1357362.9100962039</v>
      </c>
      <c r="U348" s="12" t="s">
        <v>30</v>
      </c>
      <c r="V348" s="12" t="s">
        <v>9</v>
      </c>
      <c r="W348" s="19">
        <v>453967.52846026886</v>
      </c>
    </row>
    <row r="349" spans="3:23" x14ac:dyDescent="0.3">
      <c r="C349" s="12">
        <v>2035</v>
      </c>
      <c r="D349" s="12" t="s">
        <v>49</v>
      </c>
      <c r="E349" s="12" t="s">
        <v>50</v>
      </c>
      <c r="F349" s="12" t="s">
        <v>33</v>
      </c>
      <c r="G349" s="12" t="s">
        <v>34</v>
      </c>
      <c r="H349" s="12" t="s">
        <v>109</v>
      </c>
      <c r="I349" s="12" t="s">
        <v>27</v>
      </c>
      <c r="J349" s="12" t="s">
        <v>112</v>
      </c>
      <c r="K349" s="12" t="s">
        <v>113</v>
      </c>
      <c r="L349" s="12" t="s">
        <v>2</v>
      </c>
      <c r="M349" s="12" t="s">
        <v>2</v>
      </c>
      <c r="N349" s="12" t="s">
        <v>105</v>
      </c>
      <c r="O349" s="12" t="s">
        <v>105</v>
      </c>
      <c r="P349" s="12" t="s">
        <v>101</v>
      </c>
      <c r="Q349" s="12" t="s">
        <v>118</v>
      </c>
      <c r="R349" s="12" t="s">
        <v>170</v>
      </c>
      <c r="S349" s="18">
        <f>_xlfn.XLOOKUP(R349,'Price Assumptions'!E:E,'Price Assumptions'!G:G)</f>
        <v>2.99</v>
      </c>
      <c r="T349" s="18">
        <f t="shared" si="5"/>
        <v>8555271.2364435066</v>
      </c>
      <c r="U349" s="12" t="s">
        <v>30</v>
      </c>
      <c r="V349" s="12" t="s">
        <v>9</v>
      </c>
      <c r="W349" s="19">
        <v>2861294.7279075272</v>
      </c>
    </row>
    <row r="350" spans="3:23" x14ac:dyDescent="0.3">
      <c r="C350" s="12">
        <v>2035</v>
      </c>
      <c r="D350" s="12" t="s">
        <v>53</v>
      </c>
      <c r="E350" s="12" t="s">
        <v>54</v>
      </c>
      <c r="F350" s="12" t="s">
        <v>33</v>
      </c>
      <c r="G350" s="12" t="s">
        <v>34</v>
      </c>
      <c r="H350" s="12" t="s">
        <v>109</v>
      </c>
      <c r="I350" s="12" t="s">
        <v>27</v>
      </c>
      <c r="J350" s="12" t="s">
        <v>96</v>
      </c>
      <c r="K350" s="12" t="s">
        <v>29</v>
      </c>
      <c r="L350" s="12" t="s">
        <v>2</v>
      </c>
      <c r="M350" s="12" t="s">
        <v>2</v>
      </c>
      <c r="N350" s="12" t="s">
        <v>107</v>
      </c>
      <c r="O350" s="12" t="s">
        <v>107</v>
      </c>
      <c r="P350" s="12" t="s">
        <v>108</v>
      </c>
      <c r="Q350" s="12" t="s">
        <v>118</v>
      </c>
      <c r="R350" s="12" t="s">
        <v>170</v>
      </c>
      <c r="S350" s="18">
        <f>_xlfn.XLOOKUP(R350,'Price Assumptions'!E:E,'Price Assumptions'!G:G)</f>
        <v>2.99</v>
      </c>
      <c r="T350" s="18">
        <f t="shared" si="5"/>
        <v>15418920.464734359</v>
      </c>
      <c r="U350" s="12" t="s">
        <v>30</v>
      </c>
      <c r="V350" s="12" t="s">
        <v>9</v>
      </c>
      <c r="W350" s="19">
        <v>5156829.586867678</v>
      </c>
    </row>
    <row r="351" spans="3:23" x14ac:dyDescent="0.3">
      <c r="C351" s="12">
        <v>2035</v>
      </c>
      <c r="D351" s="12" t="s">
        <v>57</v>
      </c>
      <c r="E351" s="12" t="s">
        <v>58</v>
      </c>
      <c r="F351" s="12" t="s">
        <v>33</v>
      </c>
      <c r="G351" s="12" t="s">
        <v>34</v>
      </c>
      <c r="H351" s="12" t="s">
        <v>109</v>
      </c>
      <c r="I351" s="12" t="s">
        <v>27</v>
      </c>
      <c r="J351" s="12" t="s">
        <v>112</v>
      </c>
      <c r="K351" s="12" t="s">
        <v>113</v>
      </c>
      <c r="L351" s="12" t="s">
        <v>2</v>
      </c>
      <c r="M351" s="12" t="s">
        <v>2</v>
      </c>
      <c r="N351" s="12" t="s">
        <v>99</v>
      </c>
      <c r="O351" s="12" t="s">
        <v>99</v>
      </c>
      <c r="P351" s="12" t="s">
        <v>101</v>
      </c>
      <c r="Q351" s="12" t="s">
        <v>118</v>
      </c>
      <c r="R351" s="12" t="s">
        <v>170</v>
      </c>
      <c r="S351" s="18">
        <f>_xlfn.XLOOKUP(R351,'Price Assumptions'!E:E,'Price Assumptions'!G:G)</f>
        <v>2.99</v>
      </c>
      <c r="T351" s="18">
        <f t="shared" si="5"/>
        <v>7251236.3436483806</v>
      </c>
      <c r="U351" s="12" t="s">
        <v>30</v>
      </c>
      <c r="V351" s="12" t="s">
        <v>9</v>
      </c>
      <c r="W351" s="19">
        <v>2425162.6567385886</v>
      </c>
    </row>
    <row r="352" spans="3:23" x14ac:dyDescent="0.3">
      <c r="C352" s="12">
        <v>2035</v>
      </c>
      <c r="D352" s="12" t="s">
        <v>59</v>
      </c>
      <c r="E352" s="12" t="s">
        <v>60</v>
      </c>
      <c r="F352" s="12" t="s">
        <v>33</v>
      </c>
      <c r="G352" s="12" t="s">
        <v>34</v>
      </c>
      <c r="H352" s="12" t="s">
        <v>109</v>
      </c>
      <c r="I352" s="12" t="s">
        <v>27</v>
      </c>
      <c r="J352" s="12" t="s">
        <v>110</v>
      </c>
      <c r="K352" s="12" t="s">
        <v>111</v>
      </c>
      <c r="L352" s="12" t="s">
        <v>2</v>
      </c>
      <c r="M352" s="12" t="s">
        <v>2</v>
      </c>
      <c r="N352" s="12" t="s">
        <v>107</v>
      </c>
      <c r="O352" s="12" t="s">
        <v>107</v>
      </c>
      <c r="P352" s="12" t="s">
        <v>108</v>
      </c>
      <c r="Q352" s="12" t="s">
        <v>100</v>
      </c>
      <c r="R352" s="12" t="s">
        <v>169</v>
      </c>
      <c r="S352" s="18">
        <f>_xlfn.XLOOKUP(R352,'Price Assumptions'!E:E,'Price Assumptions'!G:G)</f>
        <v>5</v>
      </c>
      <c r="T352" s="18">
        <f t="shared" si="5"/>
        <v>2727682.010311774</v>
      </c>
      <c r="U352" s="12" t="s">
        <v>30</v>
      </c>
      <c r="V352" s="12" t="s">
        <v>9</v>
      </c>
      <c r="W352" s="19">
        <v>545536.40206235484</v>
      </c>
    </row>
    <row r="353" spans="3:23" x14ac:dyDescent="0.3">
      <c r="C353" s="12">
        <v>2035</v>
      </c>
      <c r="D353" s="12" t="s">
        <v>61</v>
      </c>
      <c r="E353" s="12" t="s">
        <v>62</v>
      </c>
      <c r="F353" s="12" t="s">
        <v>33</v>
      </c>
      <c r="G353" s="12" t="s">
        <v>34</v>
      </c>
      <c r="H353" s="12" t="s">
        <v>109</v>
      </c>
      <c r="I353" s="12" t="s">
        <v>27</v>
      </c>
      <c r="J353" s="12" t="s">
        <v>28</v>
      </c>
      <c r="K353" s="12" t="s">
        <v>29</v>
      </c>
      <c r="L353" s="12" t="s">
        <v>2</v>
      </c>
      <c r="M353" s="12" t="s">
        <v>2</v>
      </c>
      <c r="N353" s="12" t="s">
        <v>107</v>
      </c>
      <c r="O353" s="12" t="s">
        <v>107</v>
      </c>
      <c r="P353" s="12" t="s">
        <v>108</v>
      </c>
      <c r="Q353" s="12" t="s">
        <v>100</v>
      </c>
      <c r="R353" s="12" t="s">
        <v>169</v>
      </c>
      <c r="S353" s="18">
        <f>_xlfn.XLOOKUP(R353,'Price Assumptions'!E:E,'Price Assumptions'!G:G)</f>
        <v>5</v>
      </c>
      <c r="T353" s="18">
        <f t="shared" si="5"/>
        <v>155723.75974117746</v>
      </c>
      <c r="U353" s="12" t="s">
        <v>30</v>
      </c>
      <c r="V353" s="12" t="s">
        <v>9</v>
      </c>
      <c r="W353" s="19">
        <v>31144.751948235491</v>
      </c>
    </row>
    <row r="354" spans="3:23" x14ac:dyDescent="0.3">
      <c r="C354" s="12">
        <v>2035</v>
      </c>
      <c r="D354" s="12" t="s">
        <v>63</v>
      </c>
      <c r="E354" s="12" t="s">
        <v>64</v>
      </c>
      <c r="F354" s="12" t="s">
        <v>33</v>
      </c>
      <c r="G354" s="12" t="s">
        <v>34</v>
      </c>
      <c r="H354" s="12" t="s">
        <v>109</v>
      </c>
      <c r="I354" s="12" t="s">
        <v>27</v>
      </c>
      <c r="J354" s="12" t="s">
        <v>96</v>
      </c>
      <c r="K354" s="12" t="s">
        <v>29</v>
      </c>
      <c r="L354" s="12" t="s">
        <v>2</v>
      </c>
      <c r="M354" s="12" t="s">
        <v>2</v>
      </c>
      <c r="N354" s="12" t="s">
        <v>107</v>
      </c>
      <c r="O354" s="12" t="s">
        <v>99</v>
      </c>
      <c r="P354" s="12" t="s">
        <v>101</v>
      </c>
      <c r="Q354" s="12" t="s">
        <v>118</v>
      </c>
      <c r="R354" s="12" t="s">
        <v>170</v>
      </c>
      <c r="S354" s="18">
        <f>_xlfn.XLOOKUP(R354,'Price Assumptions'!E:E,'Price Assumptions'!G:G)</f>
        <v>2.99</v>
      </c>
      <c r="T354" s="18">
        <f t="shared" si="5"/>
        <v>3278906.0318873748</v>
      </c>
      <c r="U354" s="12" t="s">
        <v>30</v>
      </c>
      <c r="V354" s="12" t="s">
        <v>9</v>
      </c>
      <c r="W354" s="19">
        <v>1096624.0909322323</v>
      </c>
    </row>
    <row r="355" spans="3:23" x14ac:dyDescent="0.3">
      <c r="C355" s="12">
        <v>2035</v>
      </c>
      <c r="D355" s="12" t="s">
        <v>73</v>
      </c>
      <c r="E355" s="12" t="s">
        <v>74</v>
      </c>
      <c r="F355" s="12" t="s">
        <v>33</v>
      </c>
      <c r="G355" s="12" t="s">
        <v>34</v>
      </c>
      <c r="H355" s="12" t="s">
        <v>109</v>
      </c>
      <c r="I355" s="12" t="s">
        <v>27</v>
      </c>
      <c r="J355" s="12" t="s">
        <v>96</v>
      </c>
      <c r="K355" s="12" t="s">
        <v>29</v>
      </c>
      <c r="L355" s="12" t="s">
        <v>2</v>
      </c>
      <c r="M355" s="12" t="s">
        <v>2</v>
      </c>
      <c r="N355" s="12" t="s">
        <v>107</v>
      </c>
      <c r="O355" s="12" t="s">
        <v>107</v>
      </c>
      <c r="P355" s="12" t="s">
        <v>108</v>
      </c>
      <c r="Q355" s="12" t="s">
        <v>120</v>
      </c>
      <c r="R355" s="12" t="s">
        <v>171</v>
      </c>
      <c r="S355" s="18">
        <f>_xlfn.XLOOKUP(R355,'Price Assumptions'!E:E,'Price Assumptions'!G:G)</f>
        <v>2.99</v>
      </c>
      <c r="T355" s="18">
        <f t="shared" si="5"/>
        <v>617983.56534677232</v>
      </c>
      <c r="U355" s="12" t="s">
        <v>30</v>
      </c>
      <c r="V355" s="12" t="s">
        <v>9</v>
      </c>
      <c r="W355" s="19">
        <v>206683.4666711613</v>
      </c>
    </row>
    <row r="356" spans="3:23" x14ac:dyDescent="0.3">
      <c r="C356" s="12">
        <v>2035</v>
      </c>
      <c r="D356" s="12" t="s">
        <v>79</v>
      </c>
      <c r="E356" s="12" t="s">
        <v>80</v>
      </c>
      <c r="F356" s="12" t="s">
        <v>33</v>
      </c>
      <c r="G356" s="12" t="s">
        <v>34</v>
      </c>
      <c r="H356" s="12" t="s">
        <v>109</v>
      </c>
      <c r="I356" s="12" t="s">
        <v>27</v>
      </c>
      <c r="J356" s="12" t="s">
        <v>96</v>
      </c>
      <c r="K356" s="12" t="s">
        <v>29</v>
      </c>
      <c r="L356" s="12" t="s">
        <v>2</v>
      </c>
      <c r="M356" s="12" t="s">
        <v>2</v>
      </c>
      <c r="N356" s="12" t="s">
        <v>103</v>
      </c>
      <c r="O356" s="12" t="s">
        <v>103</v>
      </c>
      <c r="P356" s="12" t="s">
        <v>101</v>
      </c>
      <c r="Q356" s="12" t="s">
        <v>118</v>
      </c>
      <c r="R356" s="12" t="s">
        <v>170</v>
      </c>
      <c r="S356" s="18">
        <f>_xlfn.XLOOKUP(R356,'Price Assumptions'!E:E,'Price Assumptions'!G:G)</f>
        <v>2.99</v>
      </c>
      <c r="T356" s="18">
        <f t="shared" si="5"/>
        <v>40915477.896129757</v>
      </c>
      <c r="U356" s="12" t="s">
        <v>30</v>
      </c>
      <c r="V356" s="12" t="s">
        <v>9</v>
      </c>
      <c r="W356" s="19">
        <v>13684106.319775838</v>
      </c>
    </row>
    <row r="357" spans="3:23" x14ac:dyDescent="0.3">
      <c r="C357" s="12">
        <v>2035</v>
      </c>
      <c r="D357" s="12" t="s">
        <v>88</v>
      </c>
      <c r="E357" s="12" t="s">
        <v>89</v>
      </c>
      <c r="F357" s="12" t="s">
        <v>33</v>
      </c>
      <c r="G357" s="12" t="s">
        <v>34</v>
      </c>
      <c r="H357" s="12" t="s">
        <v>109</v>
      </c>
      <c r="I357" s="12" t="s">
        <v>27</v>
      </c>
      <c r="J357" s="12" t="s">
        <v>96</v>
      </c>
      <c r="K357" s="12" t="s">
        <v>29</v>
      </c>
      <c r="L357" s="12" t="s">
        <v>2</v>
      </c>
      <c r="M357" s="12" t="s">
        <v>2</v>
      </c>
      <c r="N357" s="12" t="s">
        <v>107</v>
      </c>
      <c r="O357" s="12" t="s">
        <v>107</v>
      </c>
      <c r="P357" s="12" t="s">
        <v>108</v>
      </c>
      <c r="Q357" s="12" t="s">
        <v>120</v>
      </c>
      <c r="R357" s="12" t="s">
        <v>171</v>
      </c>
      <c r="S357" s="18">
        <f>_xlfn.XLOOKUP(R357,'Price Assumptions'!E:E,'Price Assumptions'!G:G)</f>
        <v>2.99</v>
      </c>
      <c r="T357" s="18">
        <f t="shared" si="5"/>
        <v>4874774.6068328405</v>
      </c>
      <c r="U357" s="12" t="s">
        <v>30</v>
      </c>
      <c r="V357" s="12" t="s">
        <v>9</v>
      </c>
      <c r="W357" s="19">
        <v>1630359.400278542</v>
      </c>
    </row>
    <row r="358" spans="3:23" x14ac:dyDescent="0.3">
      <c r="C358" s="12">
        <v>2035</v>
      </c>
      <c r="D358" s="12" t="s">
        <v>90</v>
      </c>
      <c r="E358" s="12" t="s">
        <v>91</v>
      </c>
      <c r="F358" s="12" t="s">
        <v>33</v>
      </c>
      <c r="G358" s="12" t="s">
        <v>34</v>
      </c>
      <c r="H358" s="12" t="s">
        <v>109</v>
      </c>
      <c r="I358" s="12" t="s">
        <v>27</v>
      </c>
      <c r="J358" s="12" t="s">
        <v>96</v>
      </c>
      <c r="K358" s="12" t="s">
        <v>29</v>
      </c>
      <c r="L358" s="12" t="s">
        <v>2</v>
      </c>
      <c r="M358" s="12" t="s">
        <v>2</v>
      </c>
      <c r="N358" s="12" t="s">
        <v>107</v>
      </c>
      <c r="O358" s="12" t="s">
        <v>107</v>
      </c>
      <c r="P358" s="12" t="s">
        <v>108</v>
      </c>
      <c r="Q358" s="12" t="s">
        <v>118</v>
      </c>
      <c r="R358" s="12" t="s">
        <v>170</v>
      </c>
      <c r="S358" s="18">
        <f>_xlfn.XLOOKUP(R358,'Price Assumptions'!E:E,'Price Assumptions'!G:G)</f>
        <v>2.99</v>
      </c>
      <c r="T358" s="18">
        <f t="shared" si="5"/>
        <v>2481220.7715221196</v>
      </c>
      <c r="U358" s="12" t="s">
        <v>30</v>
      </c>
      <c r="V358" s="12" t="s">
        <v>9</v>
      </c>
      <c r="W358" s="19">
        <v>829839.72291709681</v>
      </c>
    </row>
    <row r="359" spans="3:23" x14ac:dyDescent="0.3">
      <c r="C359" s="12">
        <v>2035</v>
      </c>
      <c r="D359" s="12" t="s">
        <v>92</v>
      </c>
      <c r="E359" s="12" t="s">
        <v>93</v>
      </c>
      <c r="F359" s="12" t="s">
        <v>33</v>
      </c>
      <c r="G359" s="12" t="s">
        <v>34</v>
      </c>
      <c r="H359" s="12" t="s">
        <v>109</v>
      </c>
      <c r="I359" s="12" t="s">
        <v>27</v>
      </c>
      <c r="J359" s="12" t="s">
        <v>96</v>
      </c>
      <c r="K359" s="12" t="s">
        <v>29</v>
      </c>
      <c r="L359" s="12" t="s">
        <v>2</v>
      </c>
      <c r="M359" s="12" t="s">
        <v>2</v>
      </c>
      <c r="N359" s="12" t="s">
        <v>107</v>
      </c>
      <c r="O359" s="12" t="s">
        <v>107</v>
      </c>
      <c r="P359" s="12" t="s">
        <v>108</v>
      </c>
      <c r="Q359" s="12" t="s">
        <v>118</v>
      </c>
      <c r="R359" s="12" t="s">
        <v>170</v>
      </c>
      <c r="S359" s="18">
        <f>_xlfn.XLOOKUP(R359,'Price Assumptions'!E:E,'Price Assumptions'!G:G)</f>
        <v>2.99</v>
      </c>
      <c r="T359" s="18">
        <f t="shared" si="5"/>
        <v>13495381.120400295</v>
      </c>
      <c r="U359" s="12" t="s">
        <v>30</v>
      </c>
      <c r="V359" s="12" t="s">
        <v>9</v>
      </c>
      <c r="W359" s="19">
        <v>4513505.3914382253</v>
      </c>
    </row>
    <row r="360" spans="3:23" x14ac:dyDescent="0.3">
      <c r="C360" s="12">
        <v>2035</v>
      </c>
      <c r="D360" s="12" t="s">
        <v>94</v>
      </c>
      <c r="E360" s="12" t="s">
        <v>95</v>
      </c>
      <c r="F360" s="12" t="s">
        <v>33</v>
      </c>
      <c r="G360" s="12" t="s">
        <v>34</v>
      </c>
      <c r="H360" s="12" t="s">
        <v>109</v>
      </c>
      <c r="I360" s="12" t="s">
        <v>27</v>
      </c>
      <c r="J360" s="12" t="s">
        <v>96</v>
      </c>
      <c r="K360" s="12" t="s">
        <v>29</v>
      </c>
      <c r="L360" s="12" t="s">
        <v>2</v>
      </c>
      <c r="M360" s="12" t="s">
        <v>2</v>
      </c>
      <c r="N360" s="12" t="s">
        <v>107</v>
      </c>
      <c r="O360" s="12" t="s">
        <v>107</v>
      </c>
      <c r="P360" s="12" t="s">
        <v>108</v>
      </c>
      <c r="Q360" s="12" t="s">
        <v>118</v>
      </c>
      <c r="R360" s="12" t="s">
        <v>170</v>
      </c>
      <c r="S360" s="18">
        <f>_xlfn.XLOOKUP(R360,'Price Assumptions'!E:E,'Price Assumptions'!G:G)</f>
        <v>2.99</v>
      </c>
      <c r="T360" s="18">
        <f t="shared" si="5"/>
        <v>3231979.4137945743</v>
      </c>
      <c r="U360" s="12" t="s">
        <v>30</v>
      </c>
      <c r="V360" s="12" t="s">
        <v>9</v>
      </c>
      <c r="W360" s="19">
        <v>1080929.5698309613</v>
      </c>
    </row>
    <row r="361" spans="3:23" x14ac:dyDescent="0.3">
      <c r="C361" s="12">
        <v>2030</v>
      </c>
      <c r="D361" s="12" t="s">
        <v>97</v>
      </c>
      <c r="E361" s="12" t="s">
        <v>98</v>
      </c>
      <c r="F361" s="12" t="s">
        <v>33</v>
      </c>
      <c r="G361" s="12" t="s">
        <v>34</v>
      </c>
      <c r="H361" s="12"/>
      <c r="I361" s="12" t="s">
        <v>27</v>
      </c>
      <c r="J361" s="12" t="s">
        <v>28</v>
      </c>
      <c r="K361" s="12" t="s">
        <v>29</v>
      </c>
      <c r="L361" s="12" t="s">
        <v>2</v>
      </c>
      <c r="M361" s="12" t="s">
        <v>2</v>
      </c>
      <c r="N361" s="12" t="s">
        <v>105</v>
      </c>
      <c r="O361" s="12" t="s">
        <v>105</v>
      </c>
      <c r="P361" s="12" t="s">
        <v>101</v>
      </c>
      <c r="Q361" s="12" t="s">
        <v>118</v>
      </c>
      <c r="R361" s="12" t="s">
        <v>155</v>
      </c>
      <c r="S361" s="18">
        <f>_xlfn.XLOOKUP(R361,'Price Assumptions'!E:E,'Price Assumptions'!G:G)</f>
        <v>2.99</v>
      </c>
      <c r="T361" s="18">
        <f t="shared" si="5"/>
        <v>2641052.3108219747</v>
      </c>
      <c r="U361" s="12" t="s">
        <v>30</v>
      </c>
      <c r="V361" s="12" t="s">
        <v>9</v>
      </c>
      <c r="W361" s="19">
        <v>883295.08723142964</v>
      </c>
    </row>
    <row r="362" spans="3:23" x14ac:dyDescent="0.3">
      <c r="C362" s="12">
        <v>2031</v>
      </c>
      <c r="D362" s="12" t="s">
        <v>97</v>
      </c>
      <c r="E362" s="12" t="s">
        <v>98</v>
      </c>
      <c r="F362" s="12" t="s">
        <v>33</v>
      </c>
      <c r="G362" s="12" t="s">
        <v>34</v>
      </c>
      <c r="H362" s="12"/>
      <c r="I362" s="12" t="s">
        <v>27</v>
      </c>
      <c r="J362" s="12" t="s">
        <v>28</v>
      </c>
      <c r="K362" s="12" t="s">
        <v>29</v>
      </c>
      <c r="L362" s="12" t="s">
        <v>2</v>
      </c>
      <c r="M362" s="12" t="s">
        <v>2</v>
      </c>
      <c r="N362" s="12" t="s">
        <v>105</v>
      </c>
      <c r="O362" s="12" t="s">
        <v>105</v>
      </c>
      <c r="P362" s="12" t="s">
        <v>101</v>
      </c>
      <c r="Q362" s="12" t="s">
        <v>118</v>
      </c>
      <c r="R362" s="12" t="s">
        <v>158</v>
      </c>
      <c r="S362" s="18">
        <f>_xlfn.XLOOKUP(R362,'Price Assumptions'!E:E,'Price Assumptions'!G:G)</f>
        <v>2.99</v>
      </c>
      <c r="T362" s="18">
        <f t="shared" si="5"/>
        <v>2715168.9774219589</v>
      </c>
      <c r="U362" s="12" t="s">
        <v>30</v>
      </c>
      <c r="V362" s="12" t="s">
        <v>9</v>
      </c>
      <c r="W362" s="19">
        <v>908083.2700407888</v>
      </c>
    </row>
    <row r="363" spans="3:23" x14ac:dyDescent="0.3">
      <c r="C363" s="12">
        <v>2032</v>
      </c>
      <c r="D363" s="12" t="s">
        <v>97</v>
      </c>
      <c r="E363" s="12" t="s">
        <v>98</v>
      </c>
      <c r="F363" s="12" t="s">
        <v>33</v>
      </c>
      <c r="G363" s="12" t="s">
        <v>34</v>
      </c>
      <c r="H363" s="12"/>
      <c r="I363" s="12" t="s">
        <v>27</v>
      </c>
      <c r="J363" s="12" t="s">
        <v>28</v>
      </c>
      <c r="K363" s="12" t="s">
        <v>29</v>
      </c>
      <c r="L363" s="12" t="s">
        <v>2</v>
      </c>
      <c r="M363" s="12" t="s">
        <v>2</v>
      </c>
      <c r="N363" s="12" t="s">
        <v>105</v>
      </c>
      <c r="O363" s="12" t="s">
        <v>105</v>
      </c>
      <c r="P363" s="12" t="s">
        <v>101</v>
      </c>
      <c r="Q363" s="12" t="s">
        <v>118</v>
      </c>
      <c r="R363" s="12" t="s">
        <v>161</v>
      </c>
      <c r="S363" s="18">
        <f>_xlfn.XLOOKUP(R363,'Price Assumptions'!E:E,'Price Assumptions'!G:G)</f>
        <v>2.99</v>
      </c>
      <c r="T363" s="18">
        <f t="shared" si="5"/>
        <v>2781245.9411432189</v>
      </c>
      <c r="U363" s="12" t="s">
        <v>30</v>
      </c>
      <c r="V363" s="12" t="s">
        <v>9</v>
      </c>
      <c r="W363" s="19">
        <v>930182.5890111099</v>
      </c>
    </row>
    <row r="364" spans="3:23" x14ac:dyDescent="0.3">
      <c r="C364" s="12">
        <v>2033</v>
      </c>
      <c r="D364" s="12" t="s">
        <v>97</v>
      </c>
      <c r="E364" s="12" t="s">
        <v>98</v>
      </c>
      <c r="F364" s="12" t="s">
        <v>33</v>
      </c>
      <c r="G364" s="12" t="s">
        <v>34</v>
      </c>
      <c r="H364" s="12"/>
      <c r="I364" s="12" t="s">
        <v>27</v>
      </c>
      <c r="J364" s="12" t="s">
        <v>28</v>
      </c>
      <c r="K364" s="12" t="s">
        <v>29</v>
      </c>
      <c r="L364" s="12" t="s">
        <v>2</v>
      </c>
      <c r="M364" s="12" t="s">
        <v>2</v>
      </c>
      <c r="N364" s="12" t="s">
        <v>105</v>
      </c>
      <c r="O364" s="12" t="s">
        <v>105</v>
      </c>
      <c r="P364" s="12" t="s">
        <v>101</v>
      </c>
      <c r="Q364" s="12" t="s">
        <v>118</v>
      </c>
      <c r="R364" s="12" t="s">
        <v>164</v>
      </c>
      <c r="S364" s="18">
        <f>_xlfn.XLOOKUP(R364,'Price Assumptions'!E:E,'Price Assumptions'!G:G)</f>
        <v>2.99</v>
      </c>
      <c r="T364" s="18">
        <f t="shared" si="5"/>
        <v>2837663.5750730839</v>
      </c>
      <c r="U364" s="12" t="s">
        <v>30</v>
      </c>
      <c r="V364" s="12" t="s">
        <v>9</v>
      </c>
      <c r="W364" s="19">
        <v>949051.36290069681</v>
      </c>
    </row>
    <row r="365" spans="3:23" x14ac:dyDescent="0.3">
      <c r="C365" s="12">
        <v>2034</v>
      </c>
      <c r="D365" s="12" t="s">
        <v>97</v>
      </c>
      <c r="E365" s="12" t="s">
        <v>98</v>
      </c>
      <c r="F365" s="12" t="s">
        <v>33</v>
      </c>
      <c r="G365" s="12" t="s">
        <v>34</v>
      </c>
      <c r="H365" s="12"/>
      <c r="I365" s="12" t="s">
        <v>27</v>
      </c>
      <c r="J365" s="12" t="s">
        <v>28</v>
      </c>
      <c r="K365" s="12" t="s">
        <v>29</v>
      </c>
      <c r="L365" s="12" t="s">
        <v>2</v>
      </c>
      <c r="M365" s="12" t="s">
        <v>2</v>
      </c>
      <c r="N365" s="12" t="s">
        <v>105</v>
      </c>
      <c r="O365" s="12" t="s">
        <v>105</v>
      </c>
      <c r="P365" s="12" t="s">
        <v>101</v>
      </c>
      <c r="Q365" s="12" t="s">
        <v>118</v>
      </c>
      <c r="R365" s="12" t="s">
        <v>167</v>
      </c>
      <c r="S365" s="18">
        <f>_xlfn.XLOOKUP(R365,'Price Assumptions'!E:E,'Price Assumptions'!G:G)</f>
        <v>2.99</v>
      </c>
      <c r="T365" s="18">
        <f t="shared" si="5"/>
        <v>2884684.1730565308</v>
      </c>
      <c r="U365" s="12" t="s">
        <v>30</v>
      </c>
      <c r="V365" s="12" t="s">
        <v>9</v>
      </c>
      <c r="W365" s="19">
        <v>964777.31540352199</v>
      </c>
    </row>
    <row r="366" spans="3:23" x14ac:dyDescent="0.3">
      <c r="C366" s="12">
        <v>2035</v>
      </c>
      <c r="D366" s="12" t="s">
        <v>97</v>
      </c>
      <c r="E366" s="12" t="s">
        <v>98</v>
      </c>
      <c r="F366" s="12" t="s">
        <v>33</v>
      </c>
      <c r="G366" s="12" t="s">
        <v>34</v>
      </c>
      <c r="H366" s="12"/>
      <c r="I366" s="12" t="s">
        <v>27</v>
      </c>
      <c r="J366" s="12" t="s">
        <v>28</v>
      </c>
      <c r="K366" s="12" t="s">
        <v>29</v>
      </c>
      <c r="L366" s="12" t="s">
        <v>2</v>
      </c>
      <c r="M366" s="12" t="s">
        <v>2</v>
      </c>
      <c r="N366" s="12" t="s">
        <v>105</v>
      </c>
      <c r="O366" s="12" t="s">
        <v>105</v>
      </c>
      <c r="P366" s="12" t="s">
        <v>101</v>
      </c>
      <c r="Q366" s="12" t="s">
        <v>118</v>
      </c>
      <c r="R366" s="12" t="s">
        <v>170</v>
      </c>
      <c r="S366" s="18">
        <f>_xlfn.XLOOKUP(R366,'Price Assumptions'!E:E,'Price Assumptions'!G:G)</f>
        <v>2.99</v>
      </c>
      <c r="T366" s="18">
        <f t="shared" si="5"/>
        <v>2924289.1016598432</v>
      </c>
      <c r="U366" s="12" t="s">
        <v>30</v>
      </c>
      <c r="V366" s="12" t="s">
        <v>9</v>
      </c>
      <c r="W366" s="19">
        <v>978023.11092302436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383C-52B4-4525-B0B9-5B45979F7819}">
  <dimension ref="B2:AP282"/>
  <sheetViews>
    <sheetView showGridLines="0" zoomScale="95" workbookViewId="0">
      <selection activeCell="G23" sqref="G23:G31"/>
    </sheetView>
  </sheetViews>
  <sheetFormatPr defaultRowHeight="14.4" x14ac:dyDescent="0.3"/>
  <cols>
    <col min="3" max="3" width="7.6640625" bestFit="1" customWidth="1"/>
    <col min="4" max="4" width="13.109375" customWidth="1"/>
    <col min="5" max="5" width="16.21875" bestFit="1" customWidth="1"/>
    <col min="6" max="6" width="24" bestFit="1" customWidth="1"/>
    <col min="7" max="7" width="16.21875" bestFit="1" customWidth="1"/>
    <col min="9" max="9" width="12.88671875" bestFit="1" customWidth="1"/>
    <col min="10" max="10" width="25.5546875" bestFit="1" customWidth="1"/>
    <col min="11" max="12" width="11.88671875" bestFit="1" customWidth="1"/>
    <col min="13" max="13" width="13" bestFit="1" customWidth="1"/>
  </cols>
  <sheetData>
    <row r="2" spans="3:42" ht="15" thickBot="1" x14ac:dyDescent="0.35"/>
    <row r="3" spans="3:42" ht="15" thickBot="1" x14ac:dyDescent="0.35">
      <c r="C3" s="37" t="s">
        <v>116</v>
      </c>
      <c r="D3" s="38"/>
      <c r="E3" s="38"/>
      <c r="F3" s="38"/>
      <c r="G3" s="39"/>
      <c r="H3" s="1"/>
      <c r="N3" s="1"/>
    </row>
    <row r="4" spans="3:42" x14ac:dyDescent="0.3">
      <c r="C4" s="15" t="s">
        <v>5</v>
      </c>
      <c r="D4" s="16" t="s">
        <v>1</v>
      </c>
      <c r="E4" s="16" t="s">
        <v>122</v>
      </c>
      <c r="F4" s="16" t="s">
        <v>115</v>
      </c>
      <c r="G4" s="17" t="s">
        <v>114</v>
      </c>
      <c r="H4" s="1"/>
      <c r="J4" t="s">
        <v>100</v>
      </c>
      <c r="K4" t="s">
        <v>100</v>
      </c>
      <c r="N4" s="1"/>
    </row>
    <row r="5" spans="3:42" x14ac:dyDescent="0.3">
      <c r="C5" s="3">
        <v>2024</v>
      </c>
      <c r="D5" s="4" t="s">
        <v>100</v>
      </c>
      <c r="E5" s="4" t="str">
        <f>C5&amp;D5</f>
        <v>2024RTS,S/AS01</v>
      </c>
      <c r="F5" s="9">
        <v>9.3000000000000007</v>
      </c>
      <c r="G5" s="8">
        <f>1.18*F5</f>
        <v>10.974</v>
      </c>
      <c r="J5" t="s">
        <v>101</v>
      </c>
      <c r="K5" t="s">
        <v>118</v>
      </c>
      <c r="AI5" s="1" t="s">
        <v>3</v>
      </c>
      <c r="AJ5" s="1" t="s">
        <v>4</v>
      </c>
      <c r="AK5" s="1" t="s">
        <v>0</v>
      </c>
      <c r="AL5" s="1" t="s">
        <v>1</v>
      </c>
      <c r="AM5" s="1" t="s">
        <v>6</v>
      </c>
      <c r="AN5" s="1" t="s">
        <v>5</v>
      </c>
      <c r="AO5" s="1" t="s">
        <v>7</v>
      </c>
      <c r="AP5" s="1" t="s">
        <v>8</v>
      </c>
    </row>
    <row r="6" spans="3:42" x14ac:dyDescent="0.3">
      <c r="C6" s="3">
        <v>2025</v>
      </c>
      <c r="D6" s="4" t="s">
        <v>100</v>
      </c>
      <c r="E6" s="4" t="str">
        <f t="shared" ref="E6:E16" si="0">C6&amp;D6</f>
        <v>2025RTS,S/AS01</v>
      </c>
      <c r="F6" s="9">
        <v>9.3000000000000007</v>
      </c>
      <c r="G6" s="8">
        <f t="shared" ref="G6:G8" si="1">1.18*F6</f>
        <v>10.974</v>
      </c>
      <c r="J6" t="s">
        <v>108</v>
      </c>
    </row>
    <row r="7" spans="3:42" x14ac:dyDescent="0.3">
      <c r="C7" s="3">
        <v>2026</v>
      </c>
      <c r="D7" s="4" t="s">
        <v>100</v>
      </c>
      <c r="E7" s="4" t="str">
        <f t="shared" si="0"/>
        <v>2026RTS,S/AS01</v>
      </c>
      <c r="F7" s="9">
        <v>9.3000000000000007</v>
      </c>
      <c r="G7" s="8">
        <f t="shared" si="1"/>
        <v>10.974</v>
      </c>
    </row>
    <row r="8" spans="3:42" x14ac:dyDescent="0.3">
      <c r="C8" s="3">
        <v>2027</v>
      </c>
      <c r="D8" s="4" t="s">
        <v>100</v>
      </c>
      <c r="E8" s="4" t="str">
        <f t="shared" si="0"/>
        <v>2027RTS,S/AS01</v>
      </c>
      <c r="F8" s="9">
        <v>9.3000000000000007</v>
      </c>
      <c r="G8" s="8">
        <f t="shared" si="1"/>
        <v>10.974</v>
      </c>
    </row>
    <row r="9" spans="3:42" x14ac:dyDescent="0.3">
      <c r="C9" s="3">
        <v>2028</v>
      </c>
      <c r="D9" s="4" t="s">
        <v>100</v>
      </c>
      <c r="E9" s="4" t="str">
        <f t="shared" si="0"/>
        <v>2028RTS,S/AS01</v>
      </c>
      <c r="F9" s="7">
        <v>5</v>
      </c>
      <c r="G9" s="8">
        <v>5</v>
      </c>
    </row>
    <row r="10" spans="3:42" x14ac:dyDescent="0.3">
      <c r="C10" s="3">
        <v>2029</v>
      </c>
      <c r="D10" s="4" t="s">
        <v>100</v>
      </c>
      <c r="E10" s="4" t="str">
        <f t="shared" si="0"/>
        <v>2029RTS,S/AS01</v>
      </c>
      <c r="F10" s="7">
        <v>5</v>
      </c>
      <c r="G10" s="8">
        <v>5</v>
      </c>
    </row>
    <row r="11" spans="3:42" x14ac:dyDescent="0.3">
      <c r="C11" s="3">
        <v>2030</v>
      </c>
      <c r="D11" s="4" t="s">
        <v>100</v>
      </c>
      <c r="E11" s="4" t="str">
        <f t="shared" si="0"/>
        <v>2030RTS,S/AS01</v>
      </c>
      <c r="F11" s="7">
        <v>5</v>
      </c>
      <c r="G11" s="8">
        <v>5</v>
      </c>
    </row>
    <row r="12" spans="3:42" x14ac:dyDescent="0.3">
      <c r="C12" s="3">
        <v>2031</v>
      </c>
      <c r="D12" s="4" t="s">
        <v>100</v>
      </c>
      <c r="E12" s="4" t="str">
        <f t="shared" si="0"/>
        <v>2031RTS,S/AS01</v>
      </c>
      <c r="F12" s="7">
        <v>5</v>
      </c>
      <c r="G12" s="8">
        <v>5</v>
      </c>
    </row>
    <row r="13" spans="3:42" x14ac:dyDescent="0.3">
      <c r="C13" s="3">
        <v>2032</v>
      </c>
      <c r="D13" s="4" t="s">
        <v>100</v>
      </c>
      <c r="E13" s="4" t="str">
        <f t="shared" si="0"/>
        <v>2032RTS,S/AS01</v>
      </c>
      <c r="F13" s="7">
        <v>5</v>
      </c>
      <c r="G13" s="8">
        <v>5</v>
      </c>
    </row>
    <row r="14" spans="3:42" x14ac:dyDescent="0.3">
      <c r="C14" s="3">
        <v>2033</v>
      </c>
      <c r="D14" s="4" t="s">
        <v>100</v>
      </c>
      <c r="E14" s="4" t="str">
        <f t="shared" si="0"/>
        <v>2033RTS,S/AS01</v>
      </c>
      <c r="F14" s="7">
        <v>5</v>
      </c>
      <c r="G14" s="8">
        <v>5</v>
      </c>
    </row>
    <row r="15" spans="3:42" x14ac:dyDescent="0.3">
      <c r="C15" s="3">
        <v>2034</v>
      </c>
      <c r="D15" s="4" t="s">
        <v>100</v>
      </c>
      <c r="E15" s="4" t="str">
        <f t="shared" si="0"/>
        <v>2034RTS,S/AS01</v>
      </c>
      <c r="F15" s="7">
        <v>5</v>
      </c>
      <c r="G15" s="8">
        <v>5</v>
      </c>
    </row>
    <row r="16" spans="3:42" ht="15" thickBot="1" x14ac:dyDescent="0.35">
      <c r="C16" s="5">
        <v>2035</v>
      </c>
      <c r="D16" s="6" t="s">
        <v>100</v>
      </c>
      <c r="E16" s="6" t="str">
        <f t="shared" si="0"/>
        <v>2035RTS,S/AS01</v>
      </c>
      <c r="F16" s="10">
        <v>5</v>
      </c>
      <c r="G16" s="11">
        <v>5</v>
      </c>
    </row>
    <row r="17" spans="3:14" ht="15" thickBot="1" x14ac:dyDescent="0.35"/>
    <row r="18" spans="3:14" ht="15" thickBot="1" x14ac:dyDescent="0.35">
      <c r="C18" s="37" t="s">
        <v>117</v>
      </c>
      <c r="D18" s="38"/>
      <c r="E18" s="38"/>
      <c r="F18" s="38"/>
      <c r="G18" s="39"/>
      <c r="H18" s="1"/>
      <c r="N18" s="1"/>
    </row>
    <row r="19" spans="3:14" x14ac:dyDescent="0.3">
      <c r="C19" s="15" t="s">
        <v>3</v>
      </c>
      <c r="D19" s="16" t="s">
        <v>1</v>
      </c>
      <c r="E19" s="16" t="s">
        <v>122</v>
      </c>
      <c r="F19" s="16" t="s">
        <v>115</v>
      </c>
      <c r="G19" s="17" t="s">
        <v>114</v>
      </c>
      <c r="H19" s="1"/>
      <c r="N19" s="1"/>
    </row>
    <row r="20" spans="3:14" x14ac:dyDescent="0.3">
      <c r="C20" s="3">
        <v>2024</v>
      </c>
      <c r="D20" s="4" t="s">
        <v>118</v>
      </c>
      <c r="E20" s="4" t="str">
        <f t="shared" ref="E20:E31" si="2">C20&amp;D20</f>
        <v xml:space="preserve">2024R21/Matrix-M </v>
      </c>
      <c r="F20" s="7">
        <v>3.9</v>
      </c>
      <c r="G20" s="8">
        <v>3.9</v>
      </c>
    </row>
    <row r="21" spans="3:14" x14ac:dyDescent="0.3">
      <c r="C21" s="3">
        <v>2025</v>
      </c>
      <c r="D21" s="4" t="s">
        <v>118</v>
      </c>
      <c r="E21" s="4" t="str">
        <f t="shared" si="2"/>
        <v xml:space="preserve">2025R21/Matrix-M </v>
      </c>
      <c r="F21" s="7">
        <v>3.9</v>
      </c>
      <c r="G21" s="8">
        <v>3.9</v>
      </c>
    </row>
    <row r="22" spans="3:14" x14ac:dyDescent="0.3">
      <c r="C22" s="3">
        <v>2026</v>
      </c>
      <c r="D22" s="4" t="s">
        <v>118</v>
      </c>
      <c r="E22" s="4" t="str">
        <f t="shared" si="2"/>
        <v xml:space="preserve">2026R21/Matrix-M </v>
      </c>
      <c r="F22" s="7">
        <v>3.9</v>
      </c>
      <c r="G22" s="8">
        <v>3.9</v>
      </c>
    </row>
    <row r="23" spans="3:14" x14ac:dyDescent="0.3">
      <c r="C23" s="3">
        <v>2027</v>
      </c>
      <c r="D23" s="4" t="s">
        <v>118</v>
      </c>
      <c r="E23" s="4" t="str">
        <f t="shared" si="2"/>
        <v xml:space="preserve">2027R21/Matrix-M </v>
      </c>
      <c r="F23" s="7">
        <v>2.99</v>
      </c>
      <c r="G23" s="7">
        <v>2.99</v>
      </c>
    </row>
    <row r="24" spans="3:14" x14ac:dyDescent="0.3">
      <c r="C24" s="3">
        <v>2028</v>
      </c>
      <c r="D24" s="4" t="s">
        <v>118</v>
      </c>
      <c r="E24" s="4" t="str">
        <f t="shared" si="2"/>
        <v xml:space="preserve">2028R21/Matrix-M </v>
      </c>
      <c r="F24" s="7">
        <v>2.99</v>
      </c>
      <c r="G24" s="7">
        <v>2.99</v>
      </c>
    </row>
    <row r="25" spans="3:14" x14ac:dyDescent="0.3">
      <c r="C25" s="3">
        <v>2029</v>
      </c>
      <c r="D25" s="4" t="s">
        <v>118</v>
      </c>
      <c r="E25" s="4" t="str">
        <f t="shared" si="2"/>
        <v xml:space="preserve">2029R21/Matrix-M </v>
      </c>
      <c r="F25" s="7">
        <v>2.99</v>
      </c>
      <c r="G25" s="7">
        <v>2.99</v>
      </c>
    </row>
    <row r="26" spans="3:14" x14ac:dyDescent="0.3">
      <c r="C26" s="3">
        <v>2030</v>
      </c>
      <c r="D26" s="4" t="s">
        <v>118</v>
      </c>
      <c r="E26" s="4" t="str">
        <f t="shared" si="2"/>
        <v xml:space="preserve">2030R21/Matrix-M </v>
      </c>
      <c r="F26" s="7">
        <v>2.99</v>
      </c>
      <c r="G26" s="7">
        <v>2.99</v>
      </c>
    </row>
    <row r="27" spans="3:14" x14ac:dyDescent="0.3">
      <c r="C27" s="3">
        <v>2031</v>
      </c>
      <c r="D27" s="4" t="s">
        <v>118</v>
      </c>
      <c r="E27" s="4" t="str">
        <f t="shared" si="2"/>
        <v xml:space="preserve">2031R21/Matrix-M </v>
      </c>
      <c r="F27" s="7">
        <v>2.99</v>
      </c>
      <c r="G27" s="7">
        <v>2.99</v>
      </c>
    </row>
    <row r="28" spans="3:14" x14ac:dyDescent="0.3">
      <c r="C28" s="3">
        <v>2032</v>
      </c>
      <c r="D28" s="4" t="s">
        <v>118</v>
      </c>
      <c r="E28" s="4" t="str">
        <f t="shared" si="2"/>
        <v xml:space="preserve">2032R21/Matrix-M </v>
      </c>
      <c r="F28" s="7">
        <v>2.99</v>
      </c>
      <c r="G28" s="7">
        <v>2.99</v>
      </c>
    </row>
    <row r="29" spans="3:14" x14ac:dyDescent="0.3">
      <c r="C29" s="3">
        <v>2033</v>
      </c>
      <c r="D29" s="4" t="s">
        <v>118</v>
      </c>
      <c r="E29" s="4" t="str">
        <f t="shared" si="2"/>
        <v xml:space="preserve">2033R21/Matrix-M </v>
      </c>
      <c r="F29" s="7">
        <v>2.99</v>
      </c>
      <c r="G29" s="7">
        <v>2.99</v>
      </c>
    </row>
    <row r="30" spans="3:14" x14ac:dyDescent="0.3">
      <c r="C30" s="3">
        <v>2034</v>
      </c>
      <c r="D30" s="4" t="s">
        <v>118</v>
      </c>
      <c r="E30" s="4" t="str">
        <f t="shared" si="2"/>
        <v xml:space="preserve">2034R21/Matrix-M </v>
      </c>
      <c r="F30" s="7">
        <v>2.99</v>
      </c>
      <c r="G30" s="7">
        <v>2.99</v>
      </c>
    </row>
    <row r="31" spans="3:14" ht="15" thickBot="1" x14ac:dyDescent="0.35">
      <c r="C31" s="5">
        <v>2035</v>
      </c>
      <c r="D31" s="6" t="s">
        <v>118</v>
      </c>
      <c r="E31" s="6" t="str">
        <f t="shared" si="2"/>
        <v xml:space="preserve">2035R21/Matrix-M </v>
      </c>
      <c r="F31" s="10">
        <v>2.99</v>
      </c>
      <c r="G31" s="7">
        <v>2.99</v>
      </c>
    </row>
    <row r="33" spans="2:10" ht="15" thickBot="1" x14ac:dyDescent="0.35">
      <c r="B33" t="s">
        <v>119</v>
      </c>
      <c r="C33" s="2" t="s">
        <v>121</v>
      </c>
    </row>
    <row r="34" spans="2:10" ht="15" thickBot="1" x14ac:dyDescent="0.35">
      <c r="C34" s="37" t="s">
        <v>117</v>
      </c>
      <c r="D34" s="38"/>
      <c r="E34" s="38"/>
      <c r="F34" s="38"/>
      <c r="G34" s="39"/>
      <c r="I34" s="24" t="s">
        <v>127</v>
      </c>
      <c r="J34" t="s">
        <v>128</v>
      </c>
    </row>
    <row r="35" spans="2:10" x14ac:dyDescent="0.3">
      <c r="C35" s="15" t="s">
        <v>3</v>
      </c>
      <c r="D35" s="16" t="s">
        <v>1</v>
      </c>
      <c r="E35" s="16" t="s">
        <v>122</v>
      </c>
      <c r="F35" s="16" t="s">
        <v>115</v>
      </c>
      <c r="G35" s="17" t="s">
        <v>114</v>
      </c>
      <c r="I35" s="25">
        <v>2024</v>
      </c>
      <c r="J35" s="21">
        <v>5891273.1077280017</v>
      </c>
    </row>
    <row r="36" spans="2:10" x14ac:dyDescent="0.3">
      <c r="C36" s="3">
        <v>2024</v>
      </c>
      <c r="D36" s="4" t="s">
        <v>120</v>
      </c>
      <c r="E36" s="4" t="str">
        <f t="shared" ref="E36:E47" si="3">C36&amp;D36</f>
        <v>2024TBD</v>
      </c>
      <c r="F36" s="7"/>
      <c r="G36" s="8">
        <f>(J36*G20+K36*G5)/(J36+K36)</f>
        <v>3.9</v>
      </c>
      <c r="I36" s="25">
        <v>2025</v>
      </c>
      <c r="J36" s="21">
        <v>24440897.738847699</v>
      </c>
    </row>
    <row r="37" spans="2:10" x14ac:dyDescent="0.3">
      <c r="C37" s="3">
        <v>2025</v>
      </c>
      <c r="D37" s="4" t="s">
        <v>120</v>
      </c>
      <c r="E37" s="4" t="str">
        <f t="shared" si="3"/>
        <v>2025TBD</v>
      </c>
      <c r="F37" s="7"/>
      <c r="G37" s="8">
        <f t="shared" ref="G37:G47" si="4">(J37*G21+K37*G6)/(J37+K37)</f>
        <v>3.9</v>
      </c>
      <c r="I37" s="25">
        <v>2026</v>
      </c>
      <c r="J37" s="21">
        <v>53708547.337556407</v>
      </c>
    </row>
    <row r="38" spans="2:10" x14ac:dyDescent="0.3">
      <c r="C38" s="3">
        <v>2026</v>
      </c>
      <c r="D38" s="4" t="s">
        <v>120</v>
      </c>
      <c r="E38" s="4" t="str">
        <f t="shared" si="3"/>
        <v>2026TBD</v>
      </c>
      <c r="F38" s="7"/>
      <c r="G38" s="8">
        <f t="shared" si="4"/>
        <v>3.9</v>
      </c>
      <c r="I38" s="25">
        <v>2027</v>
      </c>
      <c r="J38" s="21">
        <v>57796934.327909522</v>
      </c>
    </row>
    <row r="39" spans="2:10" x14ac:dyDescent="0.3">
      <c r="C39" s="3">
        <v>2027</v>
      </c>
      <c r="D39" s="4" t="s">
        <v>120</v>
      </c>
      <c r="E39" s="4" t="str">
        <f t="shared" si="3"/>
        <v>2027TBD</v>
      </c>
      <c r="F39" s="7"/>
      <c r="G39" s="8">
        <f t="shared" si="4"/>
        <v>2.99</v>
      </c>
      <c r="I39" s="25">
        <v>2028</v>
      </c>
      <c r="J39" s="21">
        <v>60054163.951582536</v>
      </c>
    </row>
    <row r="40" spans="2:10" x14ac:dyDescent="0.3">
      <c r="C40" s="3">
        <v>2028</v>
      </c>
      <c r="D40" s="4" t="s">
        <v>120</v>
      </c>
      <c r="E40" s="4" t="str">
        <f t="shared" si="3"/>
        <v>2028TBD</v>
      </c>
      <c r="F40" s="7"/>
      <c r="G40" s="8">
        <f t="shared" si="4"/>
        <v>2.99</v>
      </c>
      <c r="I40" s="25">
        <v>2029</v>
      </c>
      <c r="J40" s="21">
        <v>61825642.411663227</v>
      </c>
    </row>
    <row r="41" spans="2:10" x14ac:dyDescent="0.3">
      <c r="C41" s="3">
        <v>2029</v>
      </c>
      <c r="D41" s="4" t="s">
        <v>120</v>
      </c>
      <c r="E41" s="4" t="str">
        <f t="shared" si="3"/>
        <v>2029TBD</v>
      </c>
      <c r="F41" s="7"/>
      <c r="G41" s="8">
        <f t="shared" si="4"/>
        <v>2.99</v>
      </c>
      <c r="I41" s="25">
        <v>2030</v>
      </c>
      <c r="J41" s="21">
        <v>63041071.208018795</v>
      </c>
    </row>
    <row r="42" spans="2:10" x14ac:dyDescent="0.3">
      <c r="C42" s="3">
        <v>2030</v>
      </c>
      <c r="D42" s="4" t="s">
        <v>120</v>
      </c>
      <c r="E42" s="4" t="str">
        <f t="shared" si="3"/>
        <v>2030TBD</v>
      </c>
      <c r="F42" s="7"/>
      <c r="G42" s="8">
        <f t="shared" si="4"/>
        <v>2.99</v>
      </c>
      <c r="I42" s="25">
        <v>2031</v>
      </c>
      <c r="J42" s="21">
        <v>64395420.556642145</v>
      </c>
    </row>
    <row r="43" spans="2:10" x14ac:dyDescent="0.3">
      <c r="C43" s="3">
        <v>2031</v>
      </c>
      <c r="D43" s="4" t="s">
        <v>120</v>
      </c>
      <c r="E43" s="4" t="str">
        <f t="shared" si="3"/>
        <v>2031TBD</v>
      </c>
      <c r="F43" s="7"/>
      <c r="G43" s="8">
        <f t="shared" si="4"/>
        <v>2.99</v>
      </c>
      <c r="I43" s="25">
        <v>2032</v>
      </c>
      <c r="J43" s="21">
        <v>65700508.688398965</v>
      </c>
    </row>
    <row r="44" spans="2:10" x14ac:dyDescent="0.3">
      <c r="C44" s="3">
        <v>2032</v>
      </c>
      <c r="D44" s="4" t="s">
        <v>120</v>
      </c>
      <c r="E44" s="4" t="str">
        <f t="shared" si="3"/>
        <v>2032TBD</v>
      </c>
      <c r="F44" s="7"/>
      <c r="G44" s="8">
        <f t="shared" si="4"/>
        <v>2.99</v>
      </c>
      <c r="I44" s="25">
        <v>2033</v>
      </c>
      <c r="J44" s="21">
        <v>66970373.199155889</v>
      </c>
    </row>
    <row r="45" spans="2:10" x14ac:dyDescent="0.3">
      <c r="C45" s="3">
        <v>2033</v>
      </c>
      <c r="D45" s="4" t="s">
        <v>120</v>
      </c>
      <c r="E45" s="4" t="str">
        <f t="shared" si="3"/>
        <v>2033TBD</v>
      </c>
      <c r="F45" s="7"/>
      <c r="G45" s="8">
        <f t="shared" si="4"/>
        <v>2.99</v>
      </c>
      <c r="I45" s="25">
        <v>2034</v>
      </c>
      <c r="J45" s="21">
        <v>68210279.207480311</v>
      </c>
    </row>
    <row r="46" spans="2:10" x14ac:dyDescent="0.3">
      <c r="C46" s="3">
        <v>2034</v>
      </c>
      <c r="D46" s="4" t="s">
        <v>120</v>
      </c>
      <c r="E46" s="4" t="str">
        <f t="shared" si="3"/>
        <v>2034TBD</v>
      </c>
      <c r="F46" s="7"/>
      <c r="G46" s="8">
        <f t="shared" si="4"/>
        <v>2.99</v>
      </c>
      <c r="I46" s="25">
        <v>2035</v>
      </c>
      <c r="J46" s="21">
        <v>69415977.068877369</v>
      </c>
    </row>
    <row r="47" spans="2:10" ht="15" thickBot="1" x14ac:dyDescent="0.35">
      <c r="C47" s="5">
        <v>2035</v>
      </c>
      <c r="D47" s="6" t="s">
        <v>120</v>
      </c>
      <c r="E47" s="6" t="str">
        <f t="shared" si="3"/>
        <v>2035TBD</v>
      </c>
      <c r="F47" s="10"/>
      <c r="G47" s="11">
        <f t="shared" si="4"/>
        <v>2.99</v>
      </c>
      <c r="I47" s="25" t="s">
        <v>126</v>
      </c>
      <c r="J47" s="21">
        <v>661451088.80386078</v>
      </c>
    </row>
    <row r="251" spans="17:17" x14ac:dyDescent="0.3">
      <c r="Q251" t="s">
        <v>92</v>
      </c>
    </row>
    <row r="252" spans="17:17" x14ac:dyDescent="0.3">
      <c r="Q252" t="s">
        <v>92</v>
      </c>
    </row>
    <row r="253" spans="17:17" x14ac:dyDescent="0.3">
      <c r="Q253" t="s">
        <v>92</v>
      </c>
    </row>
    <row r="254" spans="17:17" x14ac:dyDescent="0.3">
      <c r="Q254" t="s">
        <v>92</v>
      </c>
    </row>
    <row r="255" spans="17:17" x14ac:dyDescent="0.3">
      <c r="Q255" t="s">
        <v>92</v>
      </c>
    </row>
    <row r="256" spans="17:17" x14ac:dyDescent="0.3">
      <c r="Q256" t="s">
        <v>92</v>
      </c>
    </row>
    <row r="257" spans="17:17" x14ac:dyDescent="0.3">
      <c r="Q257" t="s">
        <v>92</v>
      </c>
    </row>
    <row r="258" spans="17:17" x14ac:dyDescent="0.3">
      <c r="Q258" t="s">
        <v>92</v>
      </c>
    </row>
    <row r="259" spans="17:17" x14ac:dyDescent="0.3">
      <c r="Q259" t="s">
        <v>92</v>
      </c>
    </row>
    <row r="260" spans="17:17" x14ac:dyDescent="0.3">
      <c r="Q260" t="s">
        <v>92</v>
      </c>
    </row>
    <row r="261" spans="17:17" x14ac:dyDescent="0.3">
      <c r="Q261" t="s">
        <v>92</v>
      </c>
    </row>
    <row r="262" spans="17:17" x14ac:dyDescent="0.3">
      <c r="Q262" t="s">
        <v>92</v>
      </c>
    </row>
    <row r="263" spans="17:17" x14ac:dyDescent="0.3">
      <c r="Q263" t="s">
        <v>92</v>
      </c>
    </row>
    <row r="264" spans="17:17" x14ac:dyDescent="0.3">
      <c r="Q264" t="s">
        <v>92</v>
      </c>
    </row>
    <row r="265" spans="17:17" x14ac:dyDescent="0.3">
      <c r="Q265" t="s">
        <v>92</v>
      </c>
    </row>
    <row r="266" spans="17:17" x14ac:dyDescent="0.3">
      <c r="Q266" t="s">
        <v>92</v>
      </c>
    </row>
    <row r="267" spans="17:17" x14ac:dyDescent="0.3">
      <c r="Q267" t="s">
        <v>94</v>
      </c>
    </row>
    <row r="268" spans="17:17" x14ac:dyDescent="0.3">
      <c r="Q268" t="s">
        <v>94</v>
      </c>
    </row>
    <row r="269" spans="17:17" x14ac:dyDescent="0.3">
      <c r="Q269" t="s">
        <v>94</v>
      </c>
    </row>
    <row r="270" spans="17:17" x14ac:dyDescent="0.3">
      <c r="Q270" t="s">
        <v>94</v>
      </c>
    </row>
    <row r="271" spans="17:17" x14ac:dyDescent="0.3">
      <c r="Q271" t="s">
        <v>94</v>
      </c>
    </row>
    <row r="272" spans="17:17" x14ac:dyDescent="0.3">
      <c r="Q272" t="s">
        <v>94</v>
      </c>
    </row>
    <row r="273" spans="17:17" x14ac:dyDescent="0.3">
      <c r="Q273" t="s">
        <v>94</v>
      </c>
    </row>
    <row r="274" spans="17:17" x14ac:dyDescent="0.3">
      <c r="Q274" t="s">
        <v>94</v>
      </c>
    </row>
    <row r="275" spans="17:17" x14ac:dyDescent="0.3">
      <c r="Q275" t="s">
        <v>94</v>
      </c>
    </row>
    <row r="276" spans="17:17" x14ac:dyDescent="0.3">
      <c r="Q276" t="s">
        <v>94</v>
      </c>
    </row>
    <row r="277" spans="17:17" x14ac:dyDescent="0.3">
      <c r="Q277" t="s">
        <v>94</v>
      </c>
    </row>
    <row r="278" spans="17:17" x14ac:dyDescent="0.3">
      <c r="Q278" t="s">
        <v>94</v>
      </c>
    </row>
    <row r="279" spans="17:17" x14ac:dyDescent="0.3">
      <c r="Q279" t="s">
        <v>94</v>
      </c>
    </row>
    <row r="280" spans="17:17" x14ac:dyDescent="0.3">
      <c r="Q280" t="s">
        <v>94</v>
      </c>
    </row>
    <row r="281" spans="17:17" x14ac:dyDescent="0.3">
      <c r="Q281" t="s">
        <v>94</v>
      </c>
    </row>
    <row r="282" spans="17:17" x14ac:dyDescent="0.3">
      <c r="Q282" t="s">
        <v>94</v>
      </c>
    </row>
  </sheetData>
  <mergeCells count="3">
    <mergeCell ref="C3:G3"/>
    <mergeCell ref="C18:G18"/>
    <mergeCell ref="C34:G34"/>
  </mergeCells>
  <phoneticPr fontId="5" type="noConversion"/>
  <hyperlinks>
    <hyperlink ref="C33" r:id="rId2" xr:uid="{067C8364-83F5-450A-BAE3-D129CF6C14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Master Data</vt:lpstr>
      <vt:lpstr>Price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Verma</dc:creator>
  <cp:lastModifiedBy>Kalash Verma</cp:lastModifiedBy>
  <dcterms:created xsi:type="dcterms:W3CDTF">2025-12-10T09:45:48Z</dcterms:created>
  <dcterms:modified xsi:type="dcterms:W3CDTF">2025-12-18T12:09:51Z</dcterms:modified>
</cp:coreProperties>
</file>